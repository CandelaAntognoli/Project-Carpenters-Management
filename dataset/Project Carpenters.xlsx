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invoice" sheetId="2" r:id="rId6"/>
    <sheet state="visible" name="analytics" sheetId="3" r:id="rId7"/>
    <sheet state="visible" name="Tasks" sheetId="4" r:id="rId8"/>
    <sheet state="visible" name="Orders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<sst xmlns="http://schemas.openxmlformats.org/spreadsheetml/2006/main" count="446" uniqueCount="201">
  <si>
    <t>OPEN UNPAID ORDERS</t>
  </si>
  <si>
    <t>Total outstanding</t>
  </si>
  <si>
    <t>OVERDUE TASKS</t>
  </si>
  <si>
    <t>Total Tasks</t>
  </si>
  <si>
    <t>Order Number</t>
  </si>
  <si>
    <t>Status</t>
  </si>
  <si>
    <t>Order Date</t>
  </si>
  <si>
    <t>First Name</t>
  </si>
  <si>
    <t>Last Name</t>
  </si>
  <si>
    <t>Item</t>
  </si>
  <si>
    <t>Unit Cost</t>
  </si>
  <si>
    <t>Sale Price</t>
  </si>
  <si>
    <t>Category</t>
  </si>
  <si>
    <t>Importance</t>
  </si>
  <si>
    <t>Task</t>
  </si>
  <si>
    <t>Due Date</t>
  </si>
  <si>
    <t>Est Total Hours</t>
  </si>
  <si>
    <t>% Completed</t>
  </si>
  <si>
    <t>ORDERS PAID PENDING DELIVERY</t>
  </si>
  <si>
    <t>HIGH PRIORITY TASKS</t>
  </si>
  <si>
    <t>Big Projet</t>
  </si>
  <si>
    <t>Customer Invoice</t>
  </si>
  <si>
    <t>Cliente Name</t>
  </si>
  <si>
    <t xml:space="preserve">Order Number </t>
  </si>
  <si>
    <t>Description</t>
  </si>
  <si>
    <t>Price</t>
  </si>
  <si>
    <t>Total:</t>
  </si>
  <si>
    <t>Tasks by Category</t>
  </si>
  <si>
    <t>Sales By Product</t>
  </si>
  <si>
    <t>total</t>
  </si>
  <si>
    <t>open</t>
  </si>
  <si>
    <t>Hrs. allotted</t>
  </si>
  <si>
    <t>Hrs. remaining</t>
  </si>
  <si>
    <t>% completed</t>
  </si>
  <si>
    <t>Unit Sold</t>
  </si>
  <si>
    <t>Total cost</t>
  </si>
  <si>
    <t>Total Sales</t>
  </si>
  <si>
    <t>Gross Profit</t>
  </si>
  <si>
    <t>Profit Margin</t>
  </si>
  <si>
    <t>Design</t>
  </si>
  <si>
    <t>Dining table</t>
  </si>
  <si>
    <t>Fabrication</t>
  </si>
  <si>
    <t>Bookshelf</t>
  </si>
  <si>
    <t>Installation</t>
  </si>
  <si>
    <t>Small Desk</t>
  </si>
  <si>
    <t>Materials</t>
  </si>
  <si>
    <t>Coffee table</t>
  </si>
  <si>
    <t>Shop maintenance</t>
  </si>
  <si>
    <t>Large Desk</t>
  </si>
  <si>
    <t>Bed Frame</t>
  </si>
  <si>
    <t>Bench</t>
  </si>
  <si>
    <t>Coat Rack</t>
  </si>
  <si>
    <t>Wine Rack</t>
  </si>
  <si>
    <t>End Table</t>
  </si>
  <si>
    <t>Cutting Board</t>
  </si>
  <si>
    <t>Suma total</t>
  </si>
  <si>
    <t>Units</t>
  </si>
  <si>
    <t>Sales</t>
  </si>
  <si>
    <t>Sales in the last 2 weeks</t>
  </si>
  <si>
    <t>Sales in the previ 2 weeks</t>
  </si>
  <si>
    <t>Sales in the last 30 days</t>
  </si>
  <si>
    <t>Sales in the previ 30 days</t>
  </si>
  <si>
    <t>Hours Spent</t>
  </si>
  <si>
    <t xml:space="preserve">Big Projet </t>
  </si>
  <si>
    <t>Date Helper</t>
  </si>
  <si>
    <t>Low</t>
  </si>
  <si>
    <t>Build storage for tools</t>
  </si>
  <si>
    <t>Med</t>
  </si>
  <si>
    <t>Deep clean of dust collector</t>
  </si>
  <si>
    <t>High</t>
  </si>
  <si>
    <t>Prepare custom drawings for staircase for Country House project</t>
  </si>
  <si>
    <t>Replace blades on jointer</t>
  </si>
  <si>
    <t>Source walnut for Country House project</t>
  </si>
  <si>
    <t>Glue panels for doors</t>
  </si>
  <si>
    <t>Fix tablesaw</t>
  </si>
  <si>
    <t>Apply finish to custom benches</t>
  </si>
  <si>
    <t>Talk to plywood distributor about discount</t>
  </si>
  <si>
    <t>Source marble for tabletop</t>
  </si>
  <si>
    <t>Install custom bookshelves in Country House project</t>
  </si>
  <si>
    <t>Glue large tabletop</t>
  </si>
  <si>
    <t>Design bunk beds for the kids' room in Country House project</t>
  </si>
  <si>
    <t>Clean saw blades</t>
  </si>
  <si>
    <t>Prepare front door &amp; entry way drawings for Country House project</t>
  </si>
  <si>
    <t>Assemble table legs</t>
  </si>
  <si>
    <t>Talk to lighting supplier about custom lighting design</t>
  </si>
  <si>
    <t>Prepare entertainment center drawings for Country House project</t>
  </si>
  <si>
    <t>Table assembly</t>
  </si>
  <si>
    <t>Install custom kitchen cabinets in Country House project</t>
  </si>
  <si>
    <t>Apply the finish to the table</t>
  </si>
  <si>
    <t>Paid?</t>
  </si>
  <si>
    <t>Delivery</t>
  </si>
  <si>
    <t>Notes</t>
  </si>
  <si>
    <t>Open</t>
  </si>
  <si>
    <t>Francesco</t>
  </si>
  <si>
    <t>Oconnor</t>
  </si>
  <si>
    <t>Y</t>
  </si>
  <si>
    <t>Closed</t>
  </si>
  <si>
    <t>Lyla</t>
  </si>
  <si>
    <t>Montgomery</t>
  </si>
  <si>
    <t>Lochlan</t>
  </si>
  <si>
    <t>Frank</t>
  </si>
  <si>
    <t>Adela</t>
  </si>
  <si>
    <t>Bright</t>
  </si>
  <si>
    <t>Caine</t>
  </si>
  <si>
    <t>Hoover</t>
  </si>
  <si>
    <t>Jack</t>
  </si>
  <si>
    <t>Lane</t>
  </si>
  <si>
    <t>Olaf</t>
  </si>
  <si>
    <t>Dunlop</t>
  </si>
  <si>
    <t>Gillian</t>
  </si>
  <si>
    <t>Monroe</t>
  </si>
  <si>
    <t>Talha</t>
  </si>
  <si>
    <t>Zhang</t>
  </si>
  <si>
    <t>Logan</t>
  </si>
  <si>
    <t>Pace</t>
  </si>
  <si>
    <t>Jaidan</t>
  </si>
  <si>
    <t>Lord</t>
  </si>
  <si>
    <t>Ruari</t>
  </si>
  <si>
    <t>Hobbs</t>
  </si>
  <si>
    <t>Willard</t>
  </si>
  <si>
    <t>Welsh</t>
  </si>
  <si>
    <t>Giorgio</t>
  </si>
  <si>
    <t>Carver</t>
  </si>
  <si>
    <t>Farah</t>
  </si>
  <si>
    <t>Marsden</t>
  </si>
  <si>
    <t>Rex</t>
  </si>
  <si>
    <t>Rivers</t>
  </si>
  <si>
    <t>Phoenix</t>
  </si>
  <si>
    <t>Hart</t>
  </si>
  <si>
    <t>Diya</t>
  </si>
  <si>
    <t>Nolan</t>
  </si>
  <si>
    <t>Shannen</t>
  </si>
  <si>
    <t>Houghton</t>
  </si>
  <si>
    <t>Zakir</t>
  </si>
  <si>
    <t>Roberson</t>
  </si>
  <si>
    <t>Leslie</t>
  </si>
  <si>
    <t>Ware</t>
  </si>
  <si>
    <t>Bobbi</t>
  </si>
  <si>
    <t>Livingston</t>
  </si>
  <si>
    <t>Daanyaal</t>
  </si>
  <si>
    <t>Richards</t>
  </si>
  <si>
    <t>Stefanie</t>
  </si>
  <si>
    <t>Sellers</t>
  </si>
  <si>
    <t>Bertie</t>
  </si>
  <si>
    <t>Reed</t>
  </si>
  <si>
    <t>Jaxson</t>
  </si>
  <si>
    <t>Hardy</t>
  </si>
  <si>
    <t>Rayhan</t>
  </si>
  <si>
    <t>Kennedy</t>
  </si>
  <si>
    <t>Agatha</t>
  </si>
  <si>
    <t>Gilmore</t>
  </si>
  <si>
    <t>Larissa</t>
  </si>
  <si>
    <t>Gough</t>
  </si>
  <si>
    <t>Dalia</t>
  </si>
  <si>
    <t>Merritt</t>
  </si>
  <si>
    <t>Joao</t>
  </si>
  <si>
    <t>Enriquez</t>
  </si>
  <si>
    <t>Elaina</t>
  </si>
  <si>
    <t>Mccoy</t>
  </si>
  <si>
    <t>Charlotte</t>
  </si>
  <si>
    <t>Christie</t>
  </si>
  <si>
    <t>Abdur</t>
  </si>
  <si>
    <t>Dean</t>
  </si>
  <si>
    <t>Saima</t>
  </si>
  <si>
    <t>Griffin</t>
  </si>
  <si>
    <t>John</t>
  </si>
  <si>
    <t>Glass</t>
  </si>
  <si>
    <t>Estelle</t>
  </si>
  <si>
    <t>Reyna</t>
  </si>
  <si>
    <t>Zak</t>
  </si>
  <si>
    <t>Mccormick</t>
  </si>
  <si>
    <t>Isadora</t>
  </si>
  <si>
    <t>Massey</t>
  </si>
  <si>
    <t>Keri</t>
  </si>
  <si>
    <t>Burns</t>
  </si>
  <si>
    <t>Jena</t>
  </si>
  <si>
    <t>Barker</t>
  </si>
  <si>
    <t>Rhea</t>
  </si>
  <si>
    <t>Tang</t>
  </si>
  <si>
    <t>Clifford</t>
  </si>
  <si>
    <t>Woodward</t>
  </si>
  <si>
    <t>Fred</t>
  </si>
  <si>
    <t>Winters</t>
  </si>
  <si>
    <t>Celyn</t>
  </si>
  <si>
    <t>Timms</t>
  </si>
  <si>
    <t>Wasim</t>
  </si>
  <si>
    <t>Short</t>
  </si>
  <si>
    <t>Alistair</t>
  </si>
  <si>
    <t>Nunez</t>
  </si>
  <si>
    <t>Campbell</t>
  </si>
  <si>
    <t>Goodwin</t>
  </si>
  <si>
    <t>Danish</t>
  </si>
  <si>
    <t>O'Quinn</t>
  </si>
  <si>
    <t>Rufus</t>
  </si>
  <si>
    <t>Chester</t>
  </si>
  <si>
    <t>Abigayle</t>
  </si>
  <si>
    <t>Nielsen</t>
  </si>
  <si>
    <t>Salman</t>
  </si>
  <si>
    <t>Southern</t>
  </si>
  <si>
    <t>Krisha</t>
  </si>
  <si>
    <t>Fuentes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</si>
</sst>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"/>
    <numFmt numFmtId="165" formatCode="d&quot;-&quot;mmmm"/>
    <numFmt numFmtId="166" formatCode="&quot;$&quot;#,##0.00"/>
  </numFmts>
  <fonts count="16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/>
    <font>
      <color rgb="FFFFFFFF"/>
      <name val="Arial"/>
      <scheme val="minor"/>
    </font>
    <font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sz val="18.0"/>
      <color rgb="FFFFFFFF"/>
      <name val="Arial"/>
      <scheme val="minor"/>
    </font>
    <font>
      <b/>
      <sz val="12.0"/>
      <color theme="1"/>
      <name val="Arial"/>
      <scheme val="minor"/>
    </font>
    <font>
      <b/>
      <sz val="12.0"/>
      <color rgb="FFFFFFFF"/>
      <name val="Arial"/>
      <scheme val="minor"/>
    </font>
    <font>
      <sz val="10.0"/>
      <color theme="1"/>
      <name val="Arial"/>
      <scheme val="minor"/>
    </font>
    <font>
      <b/>
      <sz val="13.0"/>
      <color rgb="FFFFFFFF"/>
      <name val="Arial"/>
      <scheme val="minor"/>
    </font>
    <font>
      <b/>
      <sz val="11.0"/>
      <color theme="1"/>
      <name val="Arial"/>
      <scheme val="minor"/>
    </font>
    <font>
      <b/>
      <color rgb="FF000000"/>
      <name val="Arial"/>
      <scheme val="minor"/>
    </font>
    <font>
      <b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CCCCCC"/>
        <bgColor rgb="FFCCCCCC"/>
      </patternFill>
    </fill>
    <fill>
      <patternFill patternType="solid">
        <fgColor rgb="FFD9D2E9"/>
        <bgColor rgb="FFD9D2E9"/>
      </patternFill>
    </fill>
    <fill>
      <patternFill patternType="solid">
        <fgColor rgb="FFCC4125"/>
        <bgColor rgb="FFCC4125"/>
      </patternFill>
    </fill>
    <fill>
      <patternFill patternType="solid">
        <fgColor rgb="FFB7B7B7"/>
        <bgColor rgb="FFB7B7B7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1" fillId="2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ont="1">
      <alignment horizontal="right" readingOrder="0"/>
    </xf>
    <xf borderId="4" fillId="2" fontId="4" numFmtId="0" xfId="0" applyBorder="1" applyFont="1"/>
    <xf borderId="4" fillId="2" fontId="2" numFmtId="164" xfId="0" applyBorder="1" applyFont="1" applyNumberFormat="1"/>
    <xf borderId="4" fillId="0" fontId="1" numFmtId="0" xfId="0" applyBorder="1" applyFont="1"/>
    <xf borderId="4" fillId="2" fontId="2" numFmtId="0" xfId="0" applyBorder="1" applyFont="1"/>
    <xf borderId="0" fillId="0" fontId="5" numFmtId="0" xfId="0" applyFont="1"/>
    <xf borderId="0" fillId="0" fontId="5" numFmtId="165" xfId="0" applyFont="1" applyNumberFormat="1"/>
    <xf borderId="0" fillId="0" fontId="5" numFmtId="164" xfId="0" applyFont="1" applyNumberFormat="1"/>
    <xf borderId="4" fillId="3" fontId="6" numFmtId="0" xfId="0" applyBorder="1" applyFill="1" applyFont="1"/>
    <xf borderId="4" fillId="3" fontId="6" numFmtId="165" xfId="0" applyBorder="1" applyFont="1" applyNumberFormat="1"/>
    <xf borderId="4" fillId="3" fontId="6" numFmtId="164" xfId="0" applyBorder="1" applyFont="1" applyNumberFormat="1"/>
    <xf borderId="4" fillId="0" fontId="5" numFmtId="0" xfId="0" applyBorder="1" applyFont="1"/>
    <xf borderId="4" fillId="0" fontId="1" numFmtId="165" xfId="0" applyBorder="1" applyFont="1" applyNumberFormat="1"/>
    <xf borderId="4" fillId="0" fontId="1" numFmtId="164" xfId="0" applyBorder="1" applyFont="1" applyNumberFormat="1"/>
    <xf borderId="4" fillId="0" fontId="1" numFmtId="9" xfId="0" applyBorder="1" applyFont="1" applyNumberFormat="1"/>
    <xf borderId="0" fillId="0" fontId="1" numFmtId="0" xfId="0" applyFont="1"/>
    <xf borderId="0" fillId="0" fontId="7" numFmtId="0" xfId="0" applyFont="1"/>
    <xf borderId="4" fillId="2" fontId="2" numFmtId="0" xfId="0" applyAlignment="1" applyBorder="1" applyFont="1">
      <alignment readingOrder="0"/>
    </xf>
    <xf borderId="4" fillId="4" fontId="1" numFmtId="0" xfId="0" applyBorder="1" applyFill="1" applyFont="1"/>
    <xf borderId="1" fillId="2" fontId="2" numFmtId="0" xfId="0" applyBorder="1" applyFont="1"/>
    <xf borderId="4" fillId="4" fontId="6" numFmtId="0" xfId="0" applyBorder="1" applyFont="1"/>
    <xf borderId="1" fillId="3" fontId="6" numFmtId="165" xfId="0" applyBorder="1" applyFont="1" applyNumberFormat="1"/>
    <xf borderId="3" fillId="0" fontId="5" numFmtId="165" xfId="0" applyBorder="1" applyFont="1" applyNumberFormat="1"/>
    <xf borderId="4" fillId="0" fontId="5" numFmtId="165" xfId="0" applyBorder="1" applyFont="1" applyNumberFormat="1"/>
    <xf borderId="4" fillId="5" fontId="1" numFmtId="0" xfId="0" applyBorder="1" applyFill="1" applyFont="1"/>
    <xf borderId="4" fillId="5" fontId="1" numFmtId="165" xfId="0" applyBorder="1" applyFont="1" applyNumberFormat="1"/>
    <xf borderId="4" fillId="5" fontId="1" numFmtId="164" xfId="0" applyBorder="1" applyFont="1" applyNumberFormat="1"/>
    <xf borderId="1" fillId="2" fontId="8" numFmtId="0" xfId="0" applyAlignment="1" applyBorder="1" applyFont="1">
      <alignment horizontal="center" readingOrder="0"/>
    </xf>
    <xf borderId="4" fillId="0" fontId="9" numFmtId="0" xfId="0" applyAlignment="1" applyBorder="1" applyFont="1">
      <alignment horizontal="center" readingOrder="0"/>
    </xf>
    <xf borderId="4" fillId="0" fontId="9" numFmtId="165" xfId="0" applyAlignment="1" applyBorder="1" applyFont="1" applyNumberFormat="1">
      <alignment horizontal="center"/>
    </xf>
    <xf borderId="4" fillId="0" fontId="9" numFmtId="0" xfId="0" applyAlignment="1" applyBorder="1" applyFont="1">
      <alignment horizontal="center"/>
    </xf>
    <xf borderId="0" fillId="0" fontId="9" numFmtId="0" xfId="0" applyAlignment="1" applyFont="1">
      <alignment readingOrder="0"/>
    </xf>
    <xf borderId="1" fillId="2" fontId="10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 readingOrder="0"/>
    </xf>
    <xf borderId="4" fillId="2" fontId="10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right"/>
    </xf>
    <xf borderId="4" fillId="0" fontId="11" numFmtId="0" xfId="0" applyAlignment="1" applyBorder="1" applyFont="1">
      <alignment horizontal="right"/>
    </xf>
    <xf borderId="4" fillId="2" fontId="10" numFmtId="0" xfId="0" applyAlignment="1" applyBorder="1" applyFont="1">
      <alignment readingOrder="0"/>
    </xf>
    <xf borderId="0" fillId="0" fontId="1" numFmtId="166" xfId="0" applyFont="1" applyNumberFormat="1"/>
    <xf borderId="0" fillId="0" fontId="1" numFmtId="10" xfId="0" applyFont="1" applyNumberFormat="1"/>
    <xf borderId="1" fillId="2" fontId="12" numFmtId="0" xfId="0" applyAlignment="1" applyBorder="1" applyFont="1">
      <alignment horizontal="center" readingOrder="0"/>
    </xf>
    <xf borderId="4" fillId="3" fontId="13" numFmtId="0" xfId="0" applyAlignment="1" applyBorder="1" applyFont="1">
      <alignment readingOrder="0"/>
    </xf>
    <xf borderId="0" fillId="6" fontId="14" numFmtId="0" xfId="0" applyFill="1" applyFont="1"/>
    <xf borderId="0" fillId="6" fontId="14" numFmtId="166" xfId="0" applyFont="1" applyNumberFormat="1"/>
    <xf borderId="0" fillId="6" fontId="14" numFmtId="10" xfId="0" applyFont="1" applyNumberFormat="1"/>
    <xf borderId="4" fillId="0" fontId="1" numFmtId="10" xfId="0" applyBorder="1" applyFont="1" applyNumberFormat="1"/>
    <xf borderId="0" fillId="6" fontId="1" numFmtId="0" xfId="0" applyFont="1"/>
    <xf borderId="0" fillId="6" fontId="1" numFmtId="166" xfId="0" applyFont="1" applyNumberFormat="1"/>
    <xf borderId="0" fillId="6" fontId="1" numFmtId="10" xfId="0" applyFont="1" applyNumberFormat="1"/>
    <xf borderId="1" fillId="0" fontId="1" numFmtId="0" xfId="0" applyBorder="1" applyFont="1"/>
    <xf borderId="4" fillId="2" fontId="2" numFmtId="166" xfId="0" applyAlignment="1" applyBorder="1" applyFont="1" applyNumberFormat="1">
      <alignment readingOrder="0"/>
    </xf>
    <xf borderId="1" fillId="6" fontId="7" numFmtId="0" xfId="0" applyAlignment="1" applyBorder="1" applyFont="1">
      <alignment readingOrder="0"/>
    </xf>
    <xf borderId="4" fillId="0" fontId="7" numFmtId="0" xfId="0" applyBorder="1" applyFont="1"/>
    <xf borderId="4" fillId="0" fontId="7" numFmtId="164" xfId="0" applyBorder="1" applyFont="1" applyNumberFormat="1"/>
    <xf borderId="0" fillId="2" fontId="15" numFmtId="0" xfId="0" applyAlignment="1" applyFont="1">
      <alignment vertical="bottom"/>
    </xf>
    <xf borderId="0" fillId="2" fontId="15" numFmtId="165" xfId="0" applyAlignment="1" applyFont="1" applyNumberFormat="1">
      <alignment vertical="bottom"/>
    </xf>
    <xf borderId="0" fillId="2" fontId="15" numFmtId="0" xfId="0" applyAlignment="1" applyFont="1">
      <alignment readingOrder="0" vertical="bottom"/>
    </xf>
    <xf borderId="0" fillId="2" fontId="15" numFmtId="9" xfId="0" applyAlignment="1" applyFont="1" applyNumberFormat="1">
      <alignment vertical="bottom"/>
    </xf>
    <xf borderId="0" fillId="2" fontId="2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9" xfId="0" applyAlignment="1" applyFont="1" applyNumberFormat="1">
      <alignment readingOrder="0"/>
    </xf>
    <xf borderId="0" fillId="0" fontId="5" numFmtId="9" xfId="0" applyFont="1" applyNumberFormat="1"/>
    <xf borderId="0" fillId="0" fontId="1" numFmtId="9" xfId="0" applyFont="1" applyNumberFormat="1"/>
    <xf borderId="0" fillId="2" fontId="15" numFmtId="0" xfId="0" applyFont="1"/>
    <xf borderId="0" fillId="2" fontId="15" numFmtId="165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Gross Profit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6D9EEB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analytics!$H$5:$H$15</c:f>
            </c:strRef>
          </c:cat>
          <c:val>
            <c:numRef>
              <c:f>analytics!$L$5:$L$15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</xdr:colOff>
      <xdr:row>25</xdr:row>
      <xdr:rowOff>180975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1000" sheet="Orders"/>
  </cacheSource>
  <cacheFields>
    <cacheField name="Order Number" numFmtId="0">
      <sharedItems containsString="0" containsBlank="1" containsNumber="1" containsInteger="1"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m/>
      </sharedItems>
    </cacheField>
    <cacheField name="Status" numFmtId="0">
      <sharedItems containsBlank="1">
        <s v="Open"/>
        <s v="Closed"/>
        <m/>
      </sharedItems>
    </cacheField>
    <cacheField name="Order Date" numFmtId="165">
      <sharedItems containsDate="1" containsString="0" containsBlank="1">
        <d v="2026-03-06T00:00:00Z"/>
        <d v="2026-03-07T00:00:00Z"/>
        <d v="2026-03-10T00:00:00Z"/>
        <d v="2026-03-12T00:00:00Z"/>
        <d v="2026-03-14T00:00:00Z"/>
        <d v="2026-03-16T00:00:00Z"/>
        <d v="2026-03-17T00:00:00Z"/>
        <d v="2026-03-18T00:00:00Z"/>
        <d v="2026-03-19T00:00:00Z"/>
        <d v="2026-03-21T00:00:00Z"/>
        <d v="2026-03-22T00:00:00Z"/>
        <d v="2026-03-23T00:00:00Z"/>
        <d v="2026-03-25T00:00:00Z"/>
        <d v="2026-03-26T00:00:00Z"/>
        <d v="2026-03-27T00:00:00Z"/>
        <d v="2026-03-29T00:00:00Z"/>
        <d v="2026-04-01T00:00:00Z"/>
        <d v="2026-04-02T00:00:00Z"/>
        <d v="2026-04-04T00:00:00Z"/>
        <d v="2026-04-05T00:00:00Z"/>
        <d v="2026-04-06T00:00:00Z"/>
        <d v="2026-04-07T00:00:00Z"/>
        <d v="2026-04-08T00:00:00Z"/>
        <d v="2026-04-09T00:00:00Z"/>
        <d v="2026-04-11T00:00:00Z"/>
        <d v="2026-04-12T00:00:00Z"/>
        <d v="2026-04-13T00:00:00Z"/>
        <d v="2026-04-14T00:00:00Z"/>
        <d v="2026-04-16T00:00:00Z"/>
        <d v="2026-04-18T00:00:00Z"/>
        <d v="2026-04-20T00:00:00Z"/>
        <d v="2026-04-22T00:00:00Z"/>
        <d v="2026-04-23T00:00:00Z"/>
        <d v="2026-04-24T00:00:00Z"/>
        <d v="2026-04-26T00:00:00Z"/>
        <d v="2026-04-28T00:00:00Z"/>
        <d v="2026-04-29T00:00:00Z"/>
        <d v="2026-04-30T00:00:00Z"/>
        <d v="2026-05-01T00:00:00Z"/>
        <d v="2026-05-02T00:00:00Z"/>
        <d v="2026-05-04T00:00:00Z"/>
        <d v="2026-05-05T00:00:00Z"/>
        <m/>
      </sharedItems>
    </cacheField>
    <cacheField name="First Name" numFmtId="0">
      <sharedItems containsBlank="1">
        <s v="Francesco"/>
        <s v="Lyla"/>
        <s v="Lochlan"/>
        <s v="Adela"/>
        <s v="Caine"/>
        <s v="Jack"/>
        <s v="Olaf"/>
        <s v="Gillian"/>
        <s v="Talha"/>
        <s v="Logan"/>
        <s v="Jaidan"/>
        <s v="Ruari"/>
        <s v="Willard"/>
        <s v="Giorgio"/>
        <s v="Farah"/>
        <s v="Rex"/>
        <s v="Phoenix"/>
        <s v="Diya"/>
        <s v="Shannen"/>
        <s v="Zakir"/>
        <s v="Leslie"/>
        <s v="Bobbi"/>
        <s v="Daanyaal"/>
        <s v="Stefanie"/>
        <s v="Bertie"/>
        <s v="Jaxson"/>
        <s v="Rayhan"/>
        <s v="Agatha"/>
        <s v="Larissa"/>
        <s v="Dalia"/>
        <s v="Joao"/>
        <s v="Elaina"/>
        <s v="Charlotte"/>
        <s v="Abdur"/>
        <s v="Saima"/>
        <s v="John"/>
        <s v="Estelle"/>
        <s v="Zak"/>
        <s v="Isadora"/>
        <s v="Keri"/>
        <s v="Jena"/>
        <s v="Rhea"/>
        <s v="Clifford"/>
        <s v="Fred"/>
        <s v="Celyn"/>
        <s v="Wasim"/>
        <s v="Alistair"/>
        <s v="Campbell"/>
        <s v="Danish"/>
        <s v="Rufus"/>
        <s v="Abigayle"/>
        <s v="Salman"/>
        <s v="Krisha"/>
        <m/>
      </sharedItems>
    </cacheField>
    <cacheField name="Last Name" numFmtId="0">
      <sharedItems containsBlank="1">
        <s v="Oconnor"/>
        <s v="Montgomery"/>
        <s v="Frank"/>
        <s v="Bright"/>
        <s v="Hoover"/>
        <s v="Lane"/>
        <s v="Dunlop"/>
        <s v="Monroe"/>
        <s v="Zhang"/>
        <s v="Pace"/>
        <s v="Lord"/>
        <s v="Hobbs"/>
        <s v="Welsh"/>
        <s v="Carver"/>
        <s v="Marsden"/>
        <s v="Rivers"/>
        <s v="Hart"/>
        <s v="Nolan"/>
        <s v="Houghton"/>
        <s v="Roberson"/>
        <s v="Ware"/>
        <s v="Livingston"/>
        <s v="Richards"/>
        <s v="Sellers"/>
        <s v="Reed"/>
        <s v="Hardy"/>
        <s v="Kennedy"/>
        <s v="Gilmore"/>
        <s v="Gough"/>
        <s v="Merritt"/>
        <s v="Enriquez"/>
        <s v="Mccoy"/>
        <s v="Christie"/>
        <s v="Dean"/>
        <s v="Griffin"/>
        <s v="Glass"/>
        <s v="Reyna"/>
        <s v="Mccormick"/>
        <s v="Massey"/>
        <s v="Burns"/>
        <s v="Barker"/>
        <s v="Tang"/>
        <s v="Woodward"/>
        <s v="Winters"/>
        <s v="Timms"/>
        <s v="Short"/>
        <s v="Nunez"/>
        <s v="Goodwin"/>
        <s v="O'Quinn"/>
        <s v="Chester"/>
        <s v="Nielsen"/>
        <s v="Southern"/>
        <s v="Fuentes"/>
        <m/>
      </sharedItems>
    </cacheField>
    <cacheField name="Item" numFmtId="0">
      <sharedItems containsBlank="1">
        <s v="Bed Frame"/>
        <s v="End Table"/>
        <s v="Small Desk"/>
        <s v="Bench"/>
        <s v="Bookshelf"/>
        <s v="Coffee table"/>
        <s v="Wine Rack"/>
        <s v="Coat Rack"/>
        <s v="Cutting Board"/>
        <s v="Dining table"/>
        <s v="Large Desk"/>
        <m/>
      </sharedItems>
    </cacheField>
    <cacheField name="Unit Cost" numFmtId="0">
      <sharedItems containsString="0" containsBlank="1" containsNumber="1" containsInteger="1">
        <n v="350.0"/>
        <n v="180.0"/>
        <n v="200.0"/>
        <n v="100.0"/>
        <n v="240.0"/>
        <n v="120.0"/>
        <n v="60.0"/>
        <n v="80.0"/>
        <n v="25.0"/>
        <n v="500.0"/>
        <n v="300.0"/>
        <m/>
      </sharedItems>
    </cacheField>
    <cacheField name="Sale Price" numFmtId="0">
      <sharedItems containsString="0" containsBlank="1" containsNumber="1" containsInteger="1">
        <n v="800.0"/>
        <n v="400.0"/>
        <n v="200.0"/>
        <n v="600.0"/>
        <n v="300.0"/>
        <n v="150.0"/>
        <n v="80.0"/>
        <n v="1200.0"/>
        <m/>
      </sharedItems>
    </cacheField>
    <cacheField name="Paid?" numFmtId="0">
      <sharedItems containsBlank="1">
        <s v="Y"/>
        <m/>
      </sharedItems>
    </cacheField>
    <cacheField name="Delivery" numFmtId="0">
      <sharedItems containsBlank="1">
        <s v="Y"/>
        <m/>
      </sharedItems>
    </cacheField>
    <cacheField name="Notes" numFmtId="0">
      <sharedItems containsString="0" containsBlank="1">
        <m/>
      </sharedItems>
    </cacheField>
    <cacheField name="Gross Profit" formula="sum('Sale Price')- sum('Unit Cost')" databaseField="0"/>
    <cacheField name="Profit Margin" formula="1-sum('Unit Cost')/sum('Sale Price')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analytics" cacheId="0" dataCaption="" compact="0" compactData="0">
  <location ref="H6:M18" firstHeaderRow="0" firstDataRow="2" firstDataCol="0" rowPageCount="1" colPageCount="1"/>
  <pivotFields>
    <pivotField name="Order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Status" axis="axisPage" dataField="1" compact="0" outline="0" multipleItemSelectionAllowed="1" showAll="0">
      <items>
        <item x="0"/>
        <item x="1"/>
        <item h="1" x="2"/>
        <item t="default"/>
      </items>
    </pivotField>
    <pivotField name="Order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La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Item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3"/>
            </reference>
          </references>
        </pivotArea>
      </autoSortScope>
    </pivotField>
    <pivotField name="Unit Cos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 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aid?" compact="0" outline="0" multipleItemSelectionAllowed="1" showAll="0">
      <items>
        <item x="0"/>
        <item x="1"/>
        <item t="default"/>
      </items>
    </pivotField>
    <pivotField name="Delivery" compact="0" outline="0" multipleItemSelectionAllowed="1" showAll="0">
      <items>
        <item x="0"/>
        <item x="1"/>
        <item t="default"/>
      </items>
    </pivotField>
    <pivotField name="Notes" compact="0" outline="0" multipleItemSelectionAllowed="1" showAll="0">
      <items>
        <item x="0"/>
        <item t="default"/>
      </items>
    </pivotField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>
    <field x="5"/>
  </rowFields>
  <colFields>
    <field x="-2"/>
  </colFields>
  <pageFields>
    <pageField fld="1"/>
  </pageFields>
  <dataFields>
    <dataField name="Unit Sold" fld="1" subtotal="count" baseField="0"/>
    <dataField name="Total cost" fld="6" baseField="0"/>
    <dataField name="Total Sales" fld="7" baseField="0"/>
    <dataField name="SUM of Gross Profit" fld="11" baseField="0"/>
    <dataField name="SUM of Profit Margin" fld="1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A7D6"/>
    <outlinePr summaryBelow="0" summaryRight="0"/>
  </sheetPr>
  <sheetViews>
    <sheetView workbookViewId="0"/>
  </sheetViews>
  <sheetFormatPr customHeight="1" defaultColWidth="12.63" defaultRowHeight="15.0"/>
  <cols>
    <col customWidth="1" min="3" max="3" width="14.38"/>
    <col customWidth="1" min="6" max="6" width="15.38"/>
    <col hidden="1" min="7" max="7" width="12.63"/>
    <col hidden="1" min="10" max="11" width="12.63"/>
    <col customWidth="1" min="14" max="14" width="50.25"/>
    <col hidden="1" min="16" max="16" width="12.63"/>
  </cols>
  <sheetData>
    <row r="1">
      <c r="H1" s="1"/>
    </row>
    <row r="2">
      <c r="A2" s="2" t="s">
        <v>0</v>
      </c>
      <c r="B2" s="3"/>
      <c r="C2" s="3"/>
      <c r="D2" s="4"/>
      <c r="F2" s="5" t="s">
        <v>1</v>
      </c>
      <c r="G2" s="6"/>
      <c r="H2" s="7">
        <f>SUM(H5:H7)</f>
        <v>2800</v>
      </c>
      <c r="L2" s="2" t="s">
        <v>2</v>
      </c>
      <c r="M2" s="3"/>
      <c r="N2" s="4"/>
      <c r="O2" s="5" t="s">
        <v>3</v>
      </c>
      <c r="P2" s="8"/>
      <c r="Q2" s="9">
        <f>COUNTA(N5:N7)</f>
        <v>3</v>
      </c>
    </row>
    <row r="3">
      <c r="A3" s="10"/>
      <c r="B3" s="10"/>
      <c r="C3" s="11"/>
      <c r="D3" s="10"/>
      <c r="E3" s="10"/>
      <c r="F3" s="10"/>
      <c r="G3" s="10"/>
      <c r="H3" s="12"/>
    </row>
    <row r="4">
      <c r="A4" s="13" t="s">
        <v>4</v>
      </c>
      <c r="B4" s="13" t="s">
        <v>5</v>
      </c>
      <c r="C4" s="14" t="s">
        <v>6</v>
      </c>
      <c r="D4" s="13" t="s">
        <v>7</v>
      </c>
      <c r="E4" s="13" t="s">
        <v>8</v>
      </c>
      <c r="F4" s="13" t="s">
        <v>9</v>
      </c>
      <c r="G4" s="13" t="s">
        <v>10</v>
      </c>
      <c r="H4" s="15" t="s">
        <v>11</v>
      </c>
      <c r="L4" s="14" t="s">
        <v>12</v>
      </c>
      <c r="M4" s="14" t="s">
        <v>13</v>
      </c>
      <c r="N4" s="14" t="s">
        <v>14</v>
      </c>
      <c r="O4" s="13" t="s">
        <v>15</v>
      </c>
      <c r="P4" s="13" t="s">
        <v>16</v>
      </c>
      <c r="Q4" s="13" t="s">
        <v>17</v>
      </c>
      <c r="R4" s="16"/>
      <c r="S4" s="10"/>
    </row>
    <row r="5">
      <c r="A5" s="8">
        <f>IFERROR(__xludf.DUMMYFUNCTION("FILTER(Orders!A2:H1001,Orders!B2:B1001=""open"", Orders!I2:I1001="""")"),1041.0)</f>
        <v>1041</v>
      </c>
      <c r="B5" s="8" t="str">
        <f>IFERROR(__xludf.DUMMYFUNCTION("""COMPUTED_VALUE"""),"Open")</f>
        <v>Open</v>
      </c>
      <c r="C5" s="17">
        <f>IFERROR(__xludf.DUMMYFUNCTION("""COMPUTED_VALUE"""),46138.0)</f>
        <v>46138</v>
      </c>
      <c r="D5" s="8" t="str">
        <f>IFERROR(__xludf.DUMMYFUNCTION("""COMPUTED_VALUE"""),"Jena")</f>
        <v>Jena</v>
      </c>
      <c r="E5" s="8" t="str">
        <f>IFERROR(__xludf.DUMMYFUNCTION("""COMPUTED_VALUE"""),"Barker")</f>
        <v>Barker</v>
      </c>
      <c r="F5" s="8" t="str">
        <f>IFERROR(__xludf.DUMMYFUNCTION("""COMPUTED_VALUE"""),"Dining table")</f>
        <v>Dining table</v>
      </c>
      <c r="G5" s="8">
        <f>IFERROR(__xludf.DUMMYFUNCTION("""COMPUTED_VALUE"""),500.0)</f>
        <v>500</v>
      </c>
      <c r="H5" s="18">
        <f>IFERROR(__xludf.DUMMYFUNCTION("""COMPUTED_VALUE"""),1200.0)</f>
        <v>1200</v>
      </c>
      <c r="L5" s="8" t="str">
        <f>IFERROR(__xludf.DUMMYFUNCTION("FILTER(Tasks!A2:H1001, Tasks!D2:D1001&lt;TODAY(), Tasks!G2:G1001&lt;100,Tasks!A2:A1001&lt;&gt;"""")"),"Fabrication")</f>
        <v>Fabrication</v>
      </c>
      <c r="M5" s="8" t="str">
        <f>IFERROR(__xludf.DUMMYFUNCTION("""COMPUTED_VALUE"""),"Low")</f>
        <v>Low</v>
      </c>
      <c r="N5" s="8" t="str">
        <f>IFERROR(__xludf.DUMMYFUNCTION("""COMPUTED_VALUE"""),"Build storage for tools")</f>
        <v>Build storage for tools</v>
      </c>
      <c r="O5" s="17">
        <f>IFERROR(__xludf.DUMMYFUNCTION("""COMPUTED_VALUE"""),46145.0)</f>
        <v>46145</v>
      </c>
      <c r="P5" s="8">
        <f>IFERROR(__xludf.DUMMYFUNCTION("""COMPUTED_VALUE"""),2.0)</f>
        <v>2</v>
      </c>
      <c r="Q5" s="8">
        <f>IFERROR(__xludf.DUMMYFUNCTION("""COMPUTED_VALUE"""),1.5)</f>
        <v>1.5</v>
      </c>
      <c r="R5" s="19">
        <f>IFERROR(__xludf.DUMMYFUNCTION("""COMPUTED_VALUE"""),0.75)</f>
        <v>0.75</v>
      </c>
      <c r="S5" s="20" t="str">
        <f>IFERROR(__xludf.DUMMYFUNCTION("""COMPUTED_VALUE"""),"")</f>
        <v/>
      </c>
    </row>
    <row r="6">
      <c r="A6" s="8">
        <f>IFERROR(__xludf.DUMMYFUNCTION("""COMPUTED_VALUE"""),1043.0)</f>
        <v>1043</v>
      </c>
      <c r="B6" s="8" t="str">
        <f>IFERROR(__xludf.DUMMYFUNCTION("""COMPUTED_VALUE"""),"Open")</f>
        <v>Open</v>
      </c>
      <c r="C6" s="17">
        <f>IFERROR(__xludf.DUMMYFUNCTION("""COMPUTED_VALUE"""),46141.0)</f>
        <v>46141</v>
      </c>
      <c r="D6" s="8" t="str">
        <f>IFERROR(__xludf.DUMMYFUNCTION("""COMPUTED_VALUE"""),"Clifford")</f>
        <v>Clifford</v>
      </c>
      <c r="E6" s="8" t="str">
        <f>IFERROR(__xludf.DUMMYFUNCTION("""COMPUTED_VALUE"""),"Woodward")</f>
        <v>Woodward</v>
      </c>
      <c r="F6" s="8" t="str">
        <f>IFERROR(__xludf.DUMMYFUNCTION("""COMPUTED_VALUE"""),"Dining table")</f>
        <v>Dining table</v>
      </c>
      <c r="G6" s="8">
        <f>IFERROR(__xludf.DUMMYFUNCTION("""COMPUTED_VALUE"""),500.0)</f>
        <v>500</v>
      </c>
      <c r="H6" s="18">
        <f>IFERROR(__xludf.DUMMYFUNCTION("""COMPUTED_VALUE"""),1200.0)</f>
        <v>1200</v>
      </c>
      <c r="L6" s="8" t="str">
        <f>IFERROR(__xludf.DUMMYFUNCTION("""COMPUTED_VALUE"""),"Shop maintenance")</f>
        <v>Shop maintenance</v>
      </c>
      <c r="M6" s="8" t="str">
        <f>IFERROR(__xludf.DUMMYFUNCTION("""COMPUTED_VALUE"""),"Med")</f>
        <v>Med</v>
      </c>
      <c r="N6" s="8" t="str">
        <f>IFERROR(__xludf.DUMMYFUNCTION("""COMPUTED_VALUE"""),"Deep clean of dust collector")</f>
        <v>Deep clean of dust collector</v>
      </c>
      <c r="O6" s="17">
        <f>IFERROR(__xludf.DUMMYFUNCTION("""COMPUTED_VALUE"""),46126.0)</f>
        <v>46126</v>
      </c>
      <c r="P6" s="8">
        <f>IFERROR(__xludf.DUMMYFUNCTION("""COMPUTED_VALUE"""),2.0)</f>
        <v>2</v>
      </c>
      <c r="Q6" s="8">
        <f>IFERROR(__xludf.DUMMYFUNCTION("""COMPUTED_VALUE"""),2.0)</f>
        <v>2</v>
      </c>
      <c r="R6" s="19">
        <f>IFERROR(__xludf.DUMMYFUNCTION("""COMPUTED_VALUE"""),0.1)</f>
        <v>0.1</v>
      </c>
      <c r="S6" s="20" t="str">
        <f>IFERROR(__xludf.DUMMYFUNCTION("""COMPUTED_VALUE"""),"")</f>
        <v/>
      </c>
    </row>
    <row r="7">
      <c r="A7" s="8">
        <f>IFERROR(__xludf.DUMMYFUNCTION("""COMPUTED_VALUE"""),1053.0)</f>
        <v>1053</v>
      </c>
      <c r="B7" s="8" t="str">
        <f>IFERROR(__xludf.DUMMYFUNCTION("""COMPUTED_VALUE"""),"Open")</f>
        <v>Open</v>
      </c>
      <c r="C7" s="17">
        <f>IFERROR(__xludf.DUMMYFUNCTION("""COMPUTED_VALUE"""),46147.0)</f>
        <v>46147</v>
      </c>
      <c r="D7" s="8" t="str">
        <f>IFERROR(__xludf.DUMMYFUNCTION("""COMPUTED_VALUE"""),"Krisha")</f>
        <v>Krisha</v>
      </c>
      <c r="E7" s="8" t="str">
        <f>IFERROR(__xludf.DUMMYFUNCTION("""COMPUTED_VALUE"""),"Fuentes")</f>
        <v>Fuentes</v>
      </c>
      <c r="F7" s="8" t="str">
        <f>IFERROR(__xludf.DUMMYFUNCTION("""COMPUTED_VALUE"""),"End Table")</f>
        <v>End Table</v>
      </c>
      <c r="G7" s="8">
        <f>IFERROR(__xludf.DUMMYFUNCTION("""COMPUTED_VALUE"""),180.0)</f>
        <v>180</v>
      </c>
      <c r="H7" s="18">
        <f>IFERROR(__xludf.DUMMYFUNCTION("""COMPUTED_VALUE"""),400.0)</f>
        <v>400</v>
      </c>
      <c r="L7" s="8" t="str">
        <f>IFERROR(__xludf.DUMMYFUNCTION("""COMPUTED_VALUE"""),"Shop maintenance")</f>
        <v>Shop maintenance</v>
      </c>
      <c r="M7" s="8" t="str">
        <f>IFERROR(__xludf.DUMMYFUNCTION("""COMPUTED_VALUE"""),"Med")</f>
        <v>Med</v>
      </c>
      <c r="N7" s="8" t="str">
        <f>IFERROR(__xludf.DUMMYFUNCTION("""COMPUTED_VALUE"""),"Replace blades on jointer")</f>
        <v>Replace blades on jointer</v>
      </c>
      <c r="O7" s="17">
        <f>IFERROR(__xludf.DUMMYFUNCTION("""COMPUTED_VALUE"""),46132.0)</f>
        <v>46132</v>
      </c>
      <c r="P7" s="8">
        <f>IFERROR(__xludf.DUMMYFUNCTION("""COMPUTED_VALUE"""),1.0)</f>
        <v>1</v>
      </c>
      <c r="Q7" s="8">
        <f>IFERROR(__xludf.DUMMYFUNCTION("""COMPUTED_VALUE"""),1.0)</f>
        <v>1</v>
      </c>
      <c r="R7" s="19">
        <f>IFERROR(__xludf.DUMMYFUNCTION("""COMPUTED_VALUE"""),0.1)</f>
        <v>0.1</v>
      </c>
      <c r="S7" s="20" t="str">
        <f>IFERROR(__xludf.DUMMYFUNCTION("""COMPUTED_VALUE"""),"")</f>
        <v/>
      </c>
    </row>
    <row r="8">
      <c r="A8" s="8"/>
      <c r="B8" s="8"/>
      <c r="C8" s="8"/>
      <c r="D8" s="8"/>
      <c r="E8" s="8"/>
      <c r="F8" s="8"/>
      <c r="G8" s="8"/>
      <c r="H8" s="18"/>
      <c r="L8" s="8" t="str">
        <f>IFERROR(__xludf.DUMMYFUNCTION("""COMPUTED_VALUE"""),"Materials")</f>
        <v>Materials</v>
      </c>
      <c r="M8" s="8" t="str">
        <f>IFERROR(__xludf.DUMMYFUNCTION("""COMPUTED_VALUE"""),"Med")</f>
        <v>Med</v>
      </c>
      <c r="N8" s="8" t="str">
        <f>IFERROR(__xludf.DUMMYFUNCTION("""COMPUTED_VALUE"""),"Source walnut for Country House project")</f>
        <v>Source walnut for Country House project</v>
      </c>
      <c r="O8" s="17">
        <f>IFERROR(__xludf.DUMMYFUNCTION("""COMPUTED_VALUE"""),46145.0)</f>
        <v>46145</v>
      </c>
      <c r="P8" s="8">
        <f>IFERROR(__xludf.DUMMYFUNCTION("""COMPUTED_VALUE"""),2.0)</f>
        <v>2</v>
      </c>
      <c r="Q8" s="8">
        <f>IFERROR(__xludf.DUMMYFUNCTION("""COMPUTED_VALUE"""),0.5)</f>
        <v>0.5</v>
      </c>
      <c r="R8" s="19">
        <f>IFERROR(__xludf.DUMMYFUNCTION("""COMPUTED_VALUE"""),0.2)</f>
        <v>0.2</v>
      </c>
      <c r="S8" s="20" t="str">
        <f>IFERROR(__xludf.DUMMYFUNCTION("""COMPUTED_VALUE"""),"")</f>
        <v/>
      </c>
    </row>
    <row r="9">
      <c r="A9" s="8"/>
      <c r="B9" s="8"/>
      <c r="C9" s="8"/>
      <c r="D9" s="8"/>
      <c r="E9" s="8"/>
      <c r="F9" s="8"/>
      <c r="G9" s="8"/>
      <c r="H9" s="18"/>
      <c r="L9" s="8" t="str">
        <f>IFERROR(__xludf.DUMMYFUNCTION("""COMPUTED_VALUE"""),"Shop maintenance")</f>
        <v>Shop maintenance</v>
      </c>
      <c r="M9" s="8" t="str">
        <f>IFERROR(__xludf.DUMMYFUNCTION("""COMPUTED_VALUE"""),"Med")</f>
        <v>Med</v>
      </c>
      <c r="N9" s="8" t="str">
        <f>IFERROR(__xludf.DUMMYFUNCTION("""COMPUTED_VALUE"""),"Deep clean of dust collector")</f>
        <v>Deep clean of dust collector</v>
      </c>
      <c r="O9" s="17">
        <f>IFERROR(__xludf.DUMMYFUNCTION("""COMPUTED_VALUE"""),46136.0)</f>
        <v>46136</v>
      </c>
      <c r="P9" s="8">
        <f>IFERROR(__xludf.DUMMYFUNCTION("""COMPUTED_VALUE"""),2.0)</f>
        <v>2</v>
      </c>
      <c r="Q9" s="8">
        <f>IFERROR(__xludf.DUMMYFUNCTION("""COMPUTED_VALUE"""),2.0)</f>
        <v>2</v>
      </c>
      <c r="R9" s="19">
        <f>IFERROR(__xludf.DUMMYFUNCTION("""COMPUTED_VALUE"""),0.1)</f>
        <v>0.1</v>
      </c>
      <c r="S9" s="20" t="str">
        <f>IFERROR(__xludf.DUMMYFUNCTION("""COMPUTED_VALUE"""),"")</f>
        <v/>
      </c>
    </row>
    <row r="10">
      <c r="A10" s="8"/>
      <c r="B10" s="8"/>
      <c r="C10" s="8"/>
      <c r="D10" s="8"/>
      <c r="E10" s="8"/>
      <c r="F10" s="8"/>
      <c r="G10" s="8"/>
      <c r="H10" s="18"/>
      <c r="L10" s="8" t="str">
        <f>IFERROR(__xludf.DUMMYFUNCTION("""COMPUTED_VALUE"""),"Shop maintenance")</f>
        <v>Shop maintenance</v>
      </c>
      <c r="M10" s="8" t="str">
        <f>IFERROR(__xludf.DUMMYFUNCTION("""COMPUTED_VALUE"""),"Med")</f>
        <v>Med</v>
      </c>
      <c r="N10" s="8" t="str">
        <f>IFERROR(__xludf.DUMMYFUNCTION("""COMPUTED_VALUE"""),"Fix tablesaw")</f>
        <v>Fix tablesaw</v>
      </c>
      <c r="O10" s="17">
        <f>IFERROR(__xludf.DUMMYFUNCTION("""COMPUTED_VALUE"""),46140.0)</f>
        <v>46140</v>
      </c>
      <c r="P10" s="8">
        <f>IFERROR(__xludf.DUMMYFUNCTION("""COMPUTED_VALUE"""),1.0)</f>
        <v>1</v>
      </c>
      <c r="Q10" s="8">
        <f>IFERROR(__xludf.DUMMYFUNCTION("""COMPUTED_VALUE"""),1.0)</f>
        <v>1</v>
      </c>
      <c r="R10" s="19">
        <f>IFERROR(__xludf.DUMMYFUNCTION("""COMPUTED_VALUE"""),0.1)</f>
        <v>0.1</v>
      </c>
      <c r="S10" s="20" t="str">
        <f>IFERROR(__xludf.DUMMYFUNCTION("""COMPUTED_VALUE"""),"")</f>
        <v/>
      </c>
    </row>
    <row r="11">
      <c r="A11" s="8"/>
      <c r="B11" s="8"/>
      <c r="C11" s="8"/>
      <c r="D11" s="8"/>
      <c r="E11" s="8"/>
      <c r="F11" s="8"/>
      <c r="G11" s="8"/>
      <c r="H11" s="18"/>
      <c r="L11" s="8" t="str">
        <f>IFERROR(__xludf.DUMMYFUNCTION("""COMPUTED_VALUE"""),"Fabrication")</f>
        <v>Fabrication</v>
      </c>
      <c r="M11" s="8" t="str">
        <f>IFERROR(__xludf.DUMMYFUNCTION("""COMPUTED_VALUE"""),"Med")</f>
        <v>Med</v>
      </c>
      <c r="N11" s="8" t="str">
        <f>IFERROR(__xludf.DUMMYFUNCTION("""COMPUTED_VALUE"""),"Apply finish to custom benches")</f>
        <v>Apply finish to custom benches</v>
      </c>
      <c r="O11" s="17">
        <f>IFERROR(__xludf.DUMMYFUNCTION("""COMPUTED_VALUE"""),46144.0)</f>
        <v>46144</v>
      </c>
      <c r="P11" s="8">
        <f>IFERROR(__xludf.DUMMYFUNCTION("""COMPUTED_VALUE"""),2.0)</f>
        <v>2</v>
      </c>
      <c r="Q11" s="8">
        <f>IFERROR(__xludf.DUMMYFUNCTION("""COMPUTED_VALUE"""),0.0)</f>
        <v>0</v>
      </c>
      <c r="R11" s="19">
        <f>IFERROR(__xludf.DUMMYFUNCTION("""COMPUTED_VALUE"""),0.0)</f>
        <v>0</v>
      </c>
      <c r="S11" s="20" t="str">
        <f>IFERROR(__xludf.DUMMYFUNCTION("""COMPUTED_VALUE"""),"")</f>
        <v/>
      </c>
    </row>
    <row r="12">
      <c r="A12" s="8"/>
      <c r="B12" s="8"/>
      <c r="C12" s="8"/>
      <c r="D12" s="8"/>
      <c r="E12" s="8"/>
      <c r="F12" s="8"/>
      <c r="G12" s="8"/>
      <c r="H12" s="18"/>
      <c r="L12" s="8" t="str">
        <f>IFERROR(__xludf.DUMMYFUNCTION("""COMPUTED_VALUE"""),"Shop maintenance")</f>
        <v>Shop maintenance</v>
      </c>
      <c r="M12" s="8" t="str">
        <f>IFERROR(__xludf.DUMMYFUNCTION("""COMPUTED_VALUE"""),"Med")</f>
        <v>Med</v>
      </c>
      <c r="N12" s="8" t="str">
        <f>IFERROR(__xludf.DUMMYFUNCTION("""COMPUTED_VALUE"""),"Deep clean of dust collector")</f>
        <v>Deep clean of dust collector</v>
      </c>
      <c r="O12" s="17">
        <f>IFERROR(__xludf.DUMMYFUNCTION("""COMPUTED_VALUE"""),46143.0)</f>
        <v>46143</v>
      </c>
      <c r="P12" s="8">
        <f>IFERROR(__xludf.DUMMYFUNCTION("""COMPUTED_VALUE"""),2.0)</f>
        <v>2</v>
      </c>
      <c r="Q12" s="8">
        <f>IFERROR(__xludf.DUMMYFUNCTION("""COMPUTED_VALUE"""),2.0)</f>
        <v>2</v>
      </c>
      <c r="R12" s="19">
        <f>IFERROR(__xludf.DUMMYFUNCTION("""COMPUTED_VALUE"""),0.1)</f>
        <v>0.1</v>
      </c>
      <c r="S12" s="20" t="str">
        <f>IFERROR(__xludf.DUMMYFUNCTION("""COMPUTED_VALUE"""),"")</f>
        <v/>
      </c>
    </row>
    <row r="13">
      <c r="A13" s="8"/>
      <c r="B13" s="8"/>
      <c r="C13" s="8"/>
      <c r="D13" s="8"/>
      <c r="E13" s="8"/>
      <c r="F13" s="8"/>
      <c r="G13" s="8"/>
      <c r="H13" s="18"/>
    </row>
    <row r="14">
      <c r="H14" s="1"/>
    </row>
    <row r="15">
      <c r="H15" s="1"/>
    </row>
    <row r="16">
      <c r="H16" s="1"/>
    </row>
    <row r="17">
      <c r="H17" s="1"/>
    </row>
    <row r="18">
      <c r="H18" s="1"/>
    </row>
    <row r="19">
      <c r="H19" s="1"/>
      <c r="L19" s="21"/>
    </row>
    <row r="20">
      <c r="A20" s="2" t="s">
        <v>18</v>
      </c>
      <c r="B20" s="3"/>
      <c r="C20" s="3"/>
      <c r="D20" s="3"/>
      <c r="E20" s="3"/>
      <c r="F20" s="3"/>
      <c r="G20" s="3"/>
      <c r="H20" s="4"/>
      <c r="L20" s="2" t="s">
        <v>19</v>
      </c>
      <c r="M20" s="3"/>
      <c r="N20" s="4"/>
      <c r="O20" s="22" t="s">
        <v>3</v>
      </c>
      <c r="P20" s="23"/>
      <c r="Q20" s="24">
        <f>COUNTA(N23:N32)</f>
        <v>10</v>
      </c>
      <c r="R20" s="4"/>
    </row>
    <row r="21">
      <c r="A21" s="14" t="s">
        <v>4</v>
      </c>
      <c r="B21" s="14" t="s">
        <v>5</v>
      </c>
      <c r="C21" s="14" t="s">
        <v>6</v>
      </c>
      <c r="D21" s="14" t="s">
        <v>7</v>
      </c>
      <c r="E21" s="14" t="s">
        <v>8</v>
      </c>
      <c r="F21" s="14" t="s">
        <v>9</v>
      </c>
      <c r="G21" s="25" t="s">
        <v>10</v>
      </c>
      <c r="H21" s="26" t="s">
        <v>11</v>
      </c>
      <c r="I21" s="11"/>
      <c r="J21" s="27"/>
      <c r="K21" s="28"/>
      <c r="L21" s="28"/>
      <c r="M21" s="28"/>
    </row>
    <row r="22">
      <c r="A22" s="29">
        <f>IFERROR(__xludf.DUMMYFUNCTION("sort(FILTER(Orders!A2:H1001,Orders!B2:B1001=""open"", Orders!I2:I1001=""Y"", Orders!J2:J1001=""Y""), 3,""true"")"),1001.0)</f>
        <v>1001</v>
      </c>
      <c r="B22" s="29" t="str">
        <f>IFERROR(__xludf.DUMMYFUNCTION("""COMPUTED_VALUE"""),"Open")</f>
        <v>Open</v>
      </c>
      <c r="C22" s="30">
        <f>IFERROR(__xludf.DUMMYFUNCTION("""COMPUTED_VALUE"""),46087.0)</f>
        <v>46087</v>
      </c>
      <c r="D22" s="29" t="str">
        <f>IFERROR(__xludf.DUMMYFUNCTION("""COMPUTED_VALUE"""),"Francesco")</f>
        <v>Francesco</v>
      </c>
      <c r="E22" s="29" t="str">
        <f>IFERROR(__xludf.DUMMYFUNCTION("""COMPUTED_VALUE"""),"Oconnor")</f>
        <v>Oconnor</v>
      </c>
      <c r="F22" s="29" t="str">
        <f>IFERROR(__xludf.DUMMYFUNCTION("""COMPUTED_VALUE"""),"Bed Frame")</f>
        <v>Bed Frame</v>
      </c>
      <c r="G22" s="29">
        <f>IFERROR(__xludf.DUMMYFUNCTION("""COMPUTED_VALUE"""),350.0)</f>
        <v>350</v>
      </c>
      <c r="H22" s="31">
        <f>IFERROR(__xludf.DUMMYFUNCTION("""COMPUTED_VALUE"""),800.0)</f>
        <v>800</v>
      </c>
      <c r="L22" s="13" t="s">
        <v>12</v>
      </c>
      <c r="M22" s="13" t="s">
        <v>13</v>
      </c>
      <c r="N22" s="14" t="s">
        <v>14</v>
      </c>
      <c r="O22" s="13" t="s">
        <v>15</v>
      </c>
      <c r="P22" s="13" t="s">
        <v>16</v>
      </c>
      <c r="Q22" s="13" t="s">
        <v>17</v>
      </c>
      <c r="R22" s="13" t="s">
        <v>20</v>
      </c>
      <c r="S22" s="16"/>
    </row>
    <row r="23">
      <c r="A23" s="29">
        <f>IFERROR(__xludf.DUMMYFUNCTION("""COMPUTED_VALUE"""),1003.0)</f>
        <v>1003</v>
      </c>
      <c r="B23" s="29" t="str">
        <f>IFERROR(__xludf.DUMMYFUNCTION("""COMPUTED_VALUE"""),"Open")</f>
        <v>Open</v>
      </c>
      <c r="C23" s="30">
        <f>IFERROR(__xludf.DUMMYFUNCTION("""COMPUTED_VALUE"""),46088.0)</f>
        <v>46088</v>
      </c>
      <c r="D23" s="29" t="str">
        <f>IFERROR(__xludf.DUMMYFUNCTION("""COMPUTED_VALUE"""),"Lochlan")</f>
        <v>Lochlan</v>
      </c>
      <c r="E23" s="29" t="str">
        <f>IFERROR(__xludf.DUMMYFUNCTION("""COMPUTED_VALUE"""),"Frank")</f>
        <v>Frank</v>
      </c>
      <c r="F23" s="29" t="str">
        <f>IFERROR(__xludf.DUMMYFUNCTION("""COMPUTED_VALUE"""),"Bed Frame")</f>
        <v>Bed Frame</v>
      </c>
      <c r="G23" s="29">
        <f>IFERROR(__xludf.DUMMYFUNCTION("""COMPUTED_VALUE"""),350.0)</f>
        <v>350</v>
      </c>
      <c r="H23" s="31">
        <f>IFERROR(__xludf.DUMMYFUNCTION("""COMPUTED_VALUE"""),800.0)</f>
        <v>800</v>
      </c>
      <c r="L23" s="8" t="str">
        <f>IFERROR(__xludf.DUMMYFUNCTION("SORT(FILTER(Tasks!A2:H1001, Tasks!B2:B1001=""HIGH"",Tasks!G2:G1001&lt;100),4,TRUE)"),"Materials")</f>
        <v>Materials</v>
      </c>
      <c r="M23" s="8" t="str">
        <f>IFERROR(__xludf.DUMMYFUNCTION("""COMPUTED_VALUE"""),"High")</f>
        <v>High</v>
      </c>
      <c r="N23" s="8" t="str">
        <f>IFERROR(__xludf.DUMMYFUNCTION("""COMPUTED_VALUE"""),"Source marble for tabletop")</f>
        <v>Source marble for tabletop</v>
      </c>
      <c r="O23" s="17">
        <f>IFERROR(__xludf.DUMMYFUNCTION("""COMPUTED_VALUE"""),46148.0)</f>
        <v>46148</v>
      </c>
      <c r="P23" s="8">
        <f>IFERROR(__xludf.DUMMYFUNCTION("""COMPUTED_VALUE"""),2.0)</f>
        <v>2</v>
      </c>
      <c r="Q23" s="8">
        <f>IFERROR(__xludf.DUMMYFUNCTION("""COMPUTED_VALUE"""),0.0)</f>
        <v>0</v>
      </c>
      <c r="R23" s="19">
        <f>IFERROR(__xludf.DUMMYFUNCTION("""COMPUTED_VALUE"""),0.0)</f>
        <v>0</v>
      </c>
      <c r="S23" s="8" t="str">
        <f>IFERROR(__xludf.DUMMYFUNCTION("""COMPUTED_VALUE"""),"")</f>
        <v/>
      </c>
    </row>
    <row r="24">
      <c r="A24" s="29">
        <f>IFERROR(__xludf.DUMMYFUNCTION("""COMPUTED_VALUE"""),1020.0)</f>
        <v>1020</v>
      </c>
      <c r="B24" s="29" t="str">
        <f>IFERROR(__xludf.DUMMYFUNCTION("""COMPUTED_VALUE"""),"Open")</f>
        <v>Open</v>
      </c>
      <c r="C24" s="30">
        <f>IFERROR(__xludf.DUMMYFUNCTION("""COMPUTED_VALUE"""),46113.0)</f>
        <v>46113</v>
      </c>
      <c r="D24" s="29" t="str">
        <f>IFERROR(__xludf.DUMMYFUNCTION("""COMPUTED_VALUE"""),"Zakir")</f>
        <v>Zakir</v>
      </c>
      <c r="E24" s="29" t="str">
        <f>IFERROR(__xludf.DUMMYFUNCTION("""COMPUTED_VALUE"""),"Roberson")</f>
        <v>Roberson</v>
      </c>
      <c r="F24" s="29" t="str">
        <f>IFERROR(__xludf.DUMMYFUNCTION("""COMPUTED_VALUE"""),"Dining table")</f>
        <v>Dining table</v>
      </c>
      <c r="G24" s="29">
        <f>IFERROR(__xludf.DUMMYFUNCTION("""COMPUTED_VALUE"""),500.0)</f>
        <v>500</v>
      </c>
      <c r="H24" s="31">
        <f>IFERROR(__xludf.DUMMYFUNCTION("""COMPUTED_VALUE"""),1200.0)</f>
        <v>1200</v>
      </c>
      <c r="L24" s="8" t="str">
        <f>IFERROR(__xludf.DUMMYFUNCTION("""COMPUTED_VALUE"""),"Installation")</f>
        <v>Installation</v>
      </c>
      <c r="M24" s="8" t="str">
        <f>IFERROR(__xludf.DUMMYFUNCTION("""COMPUTED_VALUE"""),"High")</f>
        <v>High</v>
      </c>
      <c r="N24" s="8" t="str">
        <f>IFERROR(__xludf.DUMMYFUNCTION("""COMPUTED_VALUE"""),"Install custom bookshelves in Country House project")</f>
        <v>Install custom bookshelves in Country House project</v>
      </c>
      <c r="O24" s="17">
        <f>IFERROR(__xludf.DUMMYFUNCTION("""COMPUTED_VALUE"""),46151.0)</f>
        <v>46151</v>
      </c>
      <c r="P24" s="8">
        <f>IFERROR(__xludf.DUMMYFUNCTION("""COMPUTED_VALUE"""),6.0)</f>
        <v>6</v>
      </c>
      <c r="Q24" s="8">
        <f>IFERROR(__xludf.DUMMYFUNCTION("""COMPUTED_VALUE"""),0.5)</f>
        <v>0.5</v>
      </c>
      <c r="R24" s="19">
        <f>IFERROR(__xludf.DUMMYFUNCTION("""COMPUTED_VALUE"""),0.1)</f>
        <v>0.1</v>
      </c>
      <c r="S24" s="8" t="str">
        <f>IFERROR(__xludf.DUMMYFUNCTION("""COMPUTED_VALUE"""),"")</f>
        <v/>
      </c>
    </row>
    <row r="25">
      <c r="A25" s="8">
        <f>IFERROR(__xludf.DUMMYFUNCTION("""COMPUTED_VALUE"""),1027.0)</f>
        <v>1027</v>
      </c>
      <c r="B25" s="8" t="str">
        <f>IFERROR(__xludf.DUMMYFUNCTION("""COMPUTED_VALUE"""),"Open")</f>
        <v>Open</v>
      </c>
      <c r="C25" s="17">
        <f>IFERROR(__xludf.DUMMYFUNCTION("""COMPUTED_VALUE"""),46120.0)</f>
        <v>46120</v>
      </c>
      <c r="D25" s="8" t="str">
        <f>IFERROR(__xludf.DUMMYFUNCTION("""COMPUTED_VALUE"""),"Rayhan")</f>
        <v>Rayhan</v>
      </c>
      <c r="E25" s="8" t="str">
        <f>IFERROR(__xludf.DUMMYFUNCTION("""COMPUTED_VALUE"""),"Kennedy")</f>
        <v>Kennedy</v>
      </c>
      <c r="F25" s="8" t="str">
        <f>IFERROR(__xludf.DUMMYFUNCTION("""COMPUTED_VALUE"""),"Dining table")</f>
        <v>Dining table</v>
      </c>
      <c r="G25" s="8">
        <f>IFERROR(__xludf.DUMMYFUNCTION("""COMPUTED_VALUE"""),500.0)</f>
        <v>500</v>
      </c>
      <c r="H25" s="18">
        <f>IFERROR(__xludf.DUMMYFUNCTION("""COMPUTED_VALUE"""),1200.0)</f>
        <v>1200</v>
      </c>
      <c r="L25" s="8" t="str">
        <f>IFERROR(__xludf.DUMMYFUNCTION("""COMPUTED_VALUE"""),"Fabrication")</f>
        <v>Fabrication</v>
      </c>
      <c r="M25" s="8" t="str">
        <f>IFERROR(__xludf.DUMMYFUNCTION("""COMPUTED_VALUE"""),"High")</f>
        <v>High</v>
      </c>
      <c r="N25" s="8" t="str">
        <f>IFERROR(__xludf.DUMMYFUNCTION("""COMPUTED_VALUE"""),"Glue large tabletop")</f>
        <v>Glue large tabletop</v>
      </c>
      <c r="O25" s="17">
        <f>IFERROR(__xludf.DUMMYFUNCTION("""COMPUTED_VALUE"""),46153.0)</f>
        <v>46153</v>
      </c>
      <c r="P25" s="8">
        <f>IFERROR(__xludf.DUMMYFUNCTION("""COMPUTED_VALUE"""),4.0)</f>
        <v>4</v>
      </c>
      <c r="Q25" s="8">
        <f>IFERROR(__xludf.DUMMYFUNCTION("""COMPUTED_VALUE"""),0.0)</f>
        <v>0</v>
      </c>
      <c r="R25" s="19">
        <f>IFERROR(__xludf.DUMMYFUNCTION("""COMPUTED_VALUE"""),0.0)</f>
        <v>0</v>
      </c>
      <c r="S25" s="8" t="str">
        <f>IFERROR(__xludf.DUMMYFUNCTION("""COMPUTED_VALUE"""),"")</f>
        <v/>
      </c>
    </row>
    <row r="26">
      <c r="A26" s="8">
        <f>IFERROR(__xludf.DUMMYFUNCTION("""COMPUTED_VALUE"""),1029.0)</f>
        <v>1029</v>
      </c>
      <c r="B26" s="8" t="str">
        <f>IFERROR(__xludf.DUMMYFUNCTION("""COMPUTED_VALUE"""),"Open")</f>
        <v>Open</v>
      </c>
      <c r="C26" s="17">
        <f>IFERROR(__xludf.DUMMYFUNCTION("""COMPUTED_VALUE"""),46123.0)</f>
        <v>46123</v>
      </c>
      <c r="D26" s="8" t="str">
        <f>IFERROR(__xludf.DUMMYFUNCTION("""COMPUTED_VALUE"""),"Larissa")</f>
        <v>Larissa</v>
      </c>
      <c r="E26" s="8" t="str">
        <f>IFERROR(__xludf.DUMMYFUNCTION("""COMPUTED_VALUE"""),"Gough")</f>
        <v>Gough</v>
      </c>
      <c r="F26" s="8" t="str">
        <f>IFERROR(__xludf.DUMMYFUNCTION("""COMPUTED_VALUE"""),"Dining table")</f>
        <v>Dining table</v>
      </c>
      <c r="G26" s="8">
        <f>IFERROR(__xludf.DUMMYFUNCTION("""COMPUTED_VALUE"""),500.0)</f>
        <v>500</v>
      </c>
      <c r="H26" s="18">
        <f>IFERROR(__xludf.DUMMYFUNCTION("""COMPUTED_VALUE"""),1200.0)</f>
        <v>1200</v>
      </c>
      <c r="L26" s="8" t="str">
        <f>IFERROR(__xludf.DUMMYFUNCTION("""COMPUTED_VALUE"""),"Fabrication")</f>
        <v>Fabrication</v>
      </c>
      <c r="M26" s="8" t="str">
        <f>IFERROR(__xludf.DUMMYFUNCTION("""COMPUTED_VALUE"""),"High")</f>
        <v>High</v>
      </c>
      <c r="N26" s="8" t="str">
        <f>IFERROR(__xludf.DUMMYFUNCTION("""COMPUTED_VALUE"""),"Table assembly")</f>
        <v>Table assembly</v>
      </c>
      <c r="O26" s="17">
        <f>IFERROR(__xludf.DUMMYFUNCTION("""COMPUTED_VALUE"""),46154.0)</f>
        <v>46154</v>
      </c>
      <c r="P26" s="8">
        <f>IFERROR(__xludf.DUMMYFUNCTION("""COMPUTED_VALUE"""),6.0)</f>
        <v>6</v>
      </c>
      <c r="Q26" s="8">
        <f>IFERROR(__xludf.DUMMYFUNCTION("""COMPUTED_VALUE"""),0.0)</f>
        <v>0</v>
      </c>
      <c r="R26" s="19">
        <f>IFERROR(__xludf.DUMMYFUNCTION("""COMPUTED_VALUE"""),0.0)</f>
        <v>0</v>
      </c>
      <c r="S26" s="8" t="str">
        <f>IFERROR(__xludf.DUMMYFUNCTION("""COMPUTED_VALUE"""),"")</f>
        <v/>
      </c>
    </row>
    <row r="27">
      <c r="A27" s="8">
        <f>IFERROR(__xludf.DUMMYFUNCTION("""COMPUTED_VALUE"""),1030.0)</f>
        <v>1030</v>
      </c>
      <c r="B27" s="8" t="str">
        <f>IFERROR(__xludf.DUMMYFUNCTION("""COMPUTED_VALUE"""),"Open")</f>
        <v>Open</v>
      </c>
      <c r="C27" s="17">
        <f>IFERROR(__xludf.DUMMYFUNCTION("""COMPUTED_VALUE"""),46123.0)</f>
        <v>46123</v>
      </c>
      <c r="D27" s="8" t="str">
        <f>IFERROR(__xludf.DUMMYFUNCTION("""COMPUTED_VALUE"""),"Dalia")</f>
        <v>Dalia</v>
      </c>
      <c r="E27" s="8" t="str">
        <f>IFERROR(__xludf.DUMMYFUNCTION("""COMPUTED_VALUE"""),"Merritt")</f>
        <v>Merritt</v>
      </c>
      <c r="F27" s="8" t="str">
        <f>IFERROR(__xludf.DUMMYFUNCTION("""COMPUTED_VALUE"""),"Large Desk")</f>
        <v>Large Desk</v>
      </c>
      <c r="G27" s="8">
        <f>IFERROR(__xludf.DUMMYFUNCTION("""COMPUTED_VALUE"""),300.0)</f>
        <v>300</v>
      </c>
      <c r="H27" s="18">
        <f>IFERROR(__xludf.DUMMYFUNCTION("""COMPUTED_VALUE"""),600.0)</f>
        <v>600</v>
      </c>
      <c r="L27" s="8" t="str">
        <f>IFERROR(__xludf.DUMMYFUNCTION("""COMPUTED_VALUE"""),"Installation")</f>
        <v>Installation</v>
      </c>
      <c r="M27" s="8" t="str">
        <f>IFERROR(__xludf.DUMMYFUNCTION("""COMPUTED_VALUE"""),"High")</f>
        <v>High</v>
      </c>
      <c r="N27" s="8" t="str">
        <f>IFERROR(__xludf.DUMMYFUNCTION("""COMPUTED_VALUE"""),"Install custom kitchen cabinets in Country House project")</f>
        <v>Install custom kitchen cabinets in Country House project</v>
      </c>
      <c r="O27" s="17">
        <f>IFERROR(__xludf.DUMMYFUNCTION("""COMPUTED_VALUE"""),46156.0)</f>
        <v>46156</v>
      </c>
      <c r="P27" s="8">
        <f>IFERROR(__xludf.DUMMYFUNCTION("""COMPUTED_VALUE"""),8.0)</f>
        <v>8</v>
      </c>
      <c r="Q27" s="8">
        <f>IFERROR(__xludf.DUMMYFUNCTION("""COMPUTED_VALUE"""),1.0)</f>
        <v>1</v>
      </c>
      <c r="R27" s="19">
        <f>IFERROR(__xludf.DUMMYFUNCTION("""COMPUTED_VALUE"""),0.1)</f>
        <v>0.1</v>
      </c>
      <c r="S27" s="8" t="str">
        <f>IFERROR(__xludf.DUMMYFUNCTION("""COMPUTED_VALUE"""),"")</f>
        <v/>
      </c>
    </row>
    <row r="28">
      <c r="A28" s="8">
        <f>IFERROR(__xludf.DUMMYFUNCTION("""COMPUTED_VALUE"""),1035.0)</f>
        <v>1035</v>
      </c>
      <c r="B28" s="8" t="str">
        <f>IFERROR(__xludf.DUMMYFUNCTION("""COMPUTED_VALUE"""),"Open")</f>
        <v>Open</v>
      </c>
      <c r="C28" s="17">
        <f>IFERROR(__xludf.DUMMYFUNCTION("""COMPUTED_VALUE"""),46128.0)</f>
        <v>46128</v>
      </c>
      <c r="D28" s="8" t="str">
        <f>IFERROR(__xludf.DUMMYFUNCTION("""COMPUTED_VALUE"""),"Saima")</f>
        <v>Saima</v>
      </c>
      <c r="E28" s="8" t="str">
        <f>IFERROR(__xludf.DUMMYFUNCTION("""COMPUTED_VALUE"""),"Griffin")</f>
        <v>Griffin</v>
      </c>
      <c r="F28" s="8" t="str">
        <f>IFERROR(__xludf.DUMMYFUNCTION("""COMPUTED_VALUE"""),"Large Desk")</f>
        <v>Large Desk</v>
      </c>
      <c r="G28" s="8">
        <f>IFERROR(__xludf.DUMMYFUNCTION("""COMPUTED_VALUE"""),300.0)</f>
        <v>300</v>
      </c>
      <c r="H28" s="18">
        <f>IFERROR(__xludf.DUMMYFUNCTION("""COMPUTED_VALUE"""),600.0)</f>
        <v>600</v>
      </c>
      <c r="L28" s="8" t="str">
        <f>IFERROR(__xludf.DUMMYFUNCTION("""COMPUTED_VALUE"""),"Fabrication")</f>
        <v>Fabrication</v>
      </c>
      <c r="M28" s="8" t="str">
        <f>IFERROR(__xludf.DUMMYFUNCTION("""COMPUTED_VALUE"""),"High")</f>
        <v>High</v>
      </c>
      <c r="N28" s="8" t="str">
        <f>IFERROR(__xludf.DUMMYFUNCTION("""COMPUTED_VALUE"""),"Apply the finish to the table")</f>
        <v>Apply the finish to the table</v>
      </c>
      <c r="O28" s="17">
        <f>IFERROR(__xludf.DUMMYFUNCTION("""COMPUTED_VALUE"""),46156.0)</f>
        <v>46156</v>
      </c>
      <c r="P28" s="8">
        <f>IFERROR(__xludf.DUMMYFUNCTION("""COMPUTED_VALUE"""),6.0)</f>
        <v>6</v>
      </c>
      <c r="Q28" s="8">
        <f>IFERROR(__xludf.DUMMYFUNCTION("""COMPUTED_VALUE"""),0.0)</f>
        <v>0</v>
      </c>
      <c r="R28" s="19">
        <f>IFERROR(__xludf.DUMMYFUNCTION("""COMPUTED_VALUE"""),0.0)</f>
        <v>0</v>
      </c>
      <c r="S28" s="8" t="str">
        <f>IFERROR(__xludf.DUMMYFUNCTION("""COMPUTED_VALUE"""),"")</f>
        <v/>
      </c>
    </row>
    <row r="29">
      <c r="A29" s="8">
        <f>IFERROR(__xludf.DUMMYFUNCTION("""COMPUTED_VALUE"""),1047.0)</f>
        <v>1047</v>
      </c>
      <c r="B29" s="8" t="str">
        <f>IFERROR(__xludf.DUMMYFUNCTION("""COMPUTED_VALUE"""),"Open")</f>
        <v>Open</v>
      </c>
      <c r="C29" s="17">
        <f>IFERROR(__xludf.DUMMYFUNCTION("""COMPUTED_VALUE"""),46143.0)</f>
        <v>46143</v>
      </c>
      <c r="D29" s="8" t="str">
        <f>IFERROR(__xludf.DUMMYFUNCTION("""COMPUTED_VALUE"""),"Alistair")</f>
        <v>Alistair</v>
      </c>
      <c r="E29" s="8" t="str">
        <f>IFERROR(__xludf.DUMMYFUNCTION("""COMPUTED_VALUE"""),"Nunez")</f>
        <v>Nunez</v>
      </c>
      <c r="F29" s="8" t="str">
        <f>IFERROR(__xludf.DUMMYFUNCTION("""COMPUTED_VALUE"""),"Small Desk")</f>
        <v>Small Desk</v>
      </c>
      <c r="G29" s="8">
        <f>IFERROR(__xludf.DUMMYFUNCTION("""COMPUTED_VALUE"""),200.0)</f>
        <v>200</v>
      </c>
      <c r="H29" s="18">
        <f>IFERROR(__xludf.DUMMYFUNCTION("""COMPUTED_VALUE"""),400.0)</f>
        <v>400</v>
      </c>
      <c r="L29" s="8" t="str">
        <f>IFERROR(__xludf.DUMMYFUNCTION("""COMPUTED_VALUE"""),"Design")</f>
        <v>Design</v>
      </c>
      <c r="M29" s="8" t="str">
        <f>IFERROR(__xludf.DUMMYFUNCTION("""COMPUTED_VALUE"""),"High")</f>
        <v>High</v>
      </c>
      <c r="N29" s="8" t="str">
        <f>IFERROR(__xludf.DUMMYFUNCTION("""COMPUTED_VALUE"""),"Prepare custom drawings for staircase for Country House project")</f>
        <v>Prepare custom drawings for staircase for Country House project</v>
      </c>
      <c r="O29" s="17">
        <f>IFERROR(__xludf.DUMMYFUNCTION("""COMPUTED_VALUE"""),46161.0)</f>
        <v>46161</v>
      </c>
      <c r="P29" s="8">
        <f>IFERROR(__xludf.DUMMYFUNCTION("""COMPUTED_VALUE"""),16.0)</f>
        <v>16</v>
      </c>
      <c r="Q29" s="8">
        <f>IFERROR(__xludf.DUMMYFUNCTION("""COMPUTED_VALUE"""),3.0)</f>
        <v>3</v>
      </c>
      <c r="R29" s="19">
        <f>IFERROR(__xludf.DUMMYFUNCTION("""COMPUTED_VALUE"""),0.2)</f>
        <v>0.2</v>
      </c>
      <c r="S29" s="8" t="str">
        <f>IFERROR(__xludf.DUMMYFUNCTION("""COMPUTED_VALUE"""),"Y")</f>
        <v>Y</v>
      </c>
    </row>
    <row r="30">
      <c r="A30" s="8"/>
      <c r="B30" s="8"/>
      <c r="C30" s="8"/>
      <c r="D30" s="8"/>
      <c r="E30" s="8"/>
      <c r="F30" s="8"/>
      <c r="G30" s="8"/>
      <c r="H30" s="18"/>
      <c r="L30" s="8" t="str">
        <f>IFERROR(__xludf.DUMMYFUNCTION("""COMPUTED_VALUE"""),"Design")</f>
        <v>Design</v>
      </c>
      <c r="M30" s="8" t="str">
        <f>IFERROR(__xludf.DUMMYFUNCTION("""COMPUTED_VALUE"""),"High")</f>
        <v>High</v>
      </c>
      <c r="N30" s="8" t="str">
        <f>IFERROR(__xludf.DUMMYFUNCTION("""COMPUTED_VALUE"""),"Design bunk beds for the kids' room in Country House project")</f>
        <v>Design bunk beds for the kids' room in Country House project</v>
      </c>
      <c r="O30" s="17">
        <f>IFERROR(__xludf.DUMMYFUNCTION("""COMPUTED_VALUE"""),46165.0)</f>
        <v>46165</v>
      </c>
      <c r="P30" s="8">
        <f>IFERROR(__xludf.DUMMYFUNCTION("""COMPUTED_VALUE"""),12.0)</f>
        <v>12</v>
      </c>
      <c r="Q30" s="8">
        <f>IFERROR(__xludf.DUMMYFUNCTION("""COMPUTED_VALUE"""),1.5)</f>
        <v>1.5</v>
      </c>
      <c r="R30" s="19">
        <f>IFERROR(__xludf.DUMMYFUNCTION("""COMPUTED_VALUE"""),0.1)</f>
        <v>0.1</v>
      </c>
      <c r="S30" s="8" t="str">
        <f>IFERROR(__xludf.DUMMYFUNCTION("""COMPUTED_VALUE"""),"Y")</f>
        <v>Y</v>
      </c>
    </row>
    <row r="31">
      <c r="A31" s="8"/>
      <c r="B31" s="8"/>
      <c r="C31" s="8"/>
      <c r="D31" s="8"/>
      <c r="E31" s="8"/>
      <c r="F31" s="8"/>
      <c r="G31" s="8"/>
      <c r="H31" s="18"/>
      <c r="L31" s="8" t="str">
        <f>IFERROR(__xludf.DUMMYFUNCTION("""COMPUTED_VALUE"""),"Design")</f>
        <v>Design</v>
      </c>
      <c r="M31" s="8" t="str">
        <f>IFERROR(__xludf.DUMMYFUNCTION("""COMPUTED_VALUE"""),"High")</f>
        <v>High</v>
      </c>
      <c r="N31" s="8" t="str">
        <f>IFERROR(__xludf.DUMMYFUNCTION("""COMPUTED_VALUE"""),"Prepare front door &amp; entry way drawings for Country House project")</f>
        <v>Prepare front door &amp; entry way drawings for Country House project</v>
      </c>
      <c r="O31" s="17">
        <f>IFERROR(__xludf.DUMMYFUNCTION("""COMPUTED_VALUE"""),46168.0)</f>
        <v>46168</v>
      </c>
      <c r="P31" s="8">
        <f>IFERROR(__xludf.DUMMYFUNCTION("""COMPUTED_VALUE"""),12.0)</f>
        <v>12</v>
      </c>
      <c r="Q31" s="8">
        <f>IFERROR(__xludf.DUMMYFUNCTION("""COMPUTED_VALUE"""),0.0)</f>
        <v>0</v>
      </c>
      <c r="R31" s="19">
        <f>IFERROR(__xludf.DUMMYFUNCTION("""COMPUTED_VALUE"""),0.0)</f>
        <v>0</v>
      </c>
      <c r="S31" s="8" t="str">
        <f>IFERROR(__xludf.DUMMYFUNCTION("""COMPUTED_VALUE"""),"Y")</f>
        <v>Y</v>
      </c>
    </row>
    <row r="32">
      <c r="A32" s="8"/>
      <c r="B32" s="8"/>
      <c r="C32" s="8"/>
      <c r="D32" s="8"/>
      <c r="E32" s="8"/>
      <c r="F32" s="8"/>
      <c r="G32" s="8"/>
      <c r="H32" s="18"/>
      <c r="L32" s="8" t="str">
        <f>IFERROR(__xludf.DUMMYFUNCTION("""COMPUTED_VALUE"""),"Design")</f>
        <v>Design</v>
      </c>
      <c r="M32" s="8" t="str">
        <f>IFERROR(__xludf.DUMMYFUNCTION("""COMPUTED_VALUE"""),"High")</f>
        <v>High</v>
      </c>
      <c r="N32" s="8" t="str">
        <f>IFERROR(__xludf.DUMMYFUNCTION("""COMPUTED_VALUE"""),"Prepare entertainment center drawings for Country House project")</f>
        <v>Prepare entertainment center drawings for Country House project</v>
      </c>
      <c r="O32" s="17">
        <f>IFERROR(__xludf.DUMMYFUNCTION("""COMPUTED_VALUE"""),46168.0)</f>
        <v>46168</v>
      </c>
      <c r="P32" s="8">
        <f>IFERROR(__xludf.DUMMYFUNCTION("""COMPUTED_VALUE"""),12.0)</f>
        <v>12</v>
      </c>
      <c r="Q32" s="8">
        <f>IFERROR(__xludf.DUMMYFUNCTION("""COMPUTED_VALUE"""),0.0)</f>
        <v>0</v>
      </c>
      <c r="R32" s="19">
        <f>IFERROR(__xludf.DUMMYFUNCTION("""COMPUTED_VALUE"""),0.0)</f>
        <v>0</v>
      </c>
      <c r="S32" s="8" t="str">
        <f>IFERROR(__xludf.DUMMYFUNCTION("""COMPUTED_VALUE"""),"Y")</f>
        <v>Y</v>
      </c>
    </row>
    <row r="33">
      <c r="A33" s="8"/>
      <c r="B33" s="8"/>
      <c r="C33" s="8"/>
      <c r="D33" s="8"/>
      <c r="E33" s="8"/>
      <c r="F33" s="8"/>
      <c r="G33" s="8"/>
      <c r="H33" s="18"/>
      <c r="L33" s="8"/>
      <c r="M33" s="8"/>
      <c r="N33" s="8"/>
      <c r="O33" s="8"/>
      <c r="P33" s="8"/>
      <c r="Q33" s="8"/>
      <c r="R33" s="8"/>
      <c r="S33" s="8"/>
    </row>
    <row r="34">
      <c r="A34" s="8"/>
      <c r="B34" s="8"/>
      <c r="C34" s="8"/>
      <c r="D34" s="8"/>
      <c r="E34" s="8"/>
      <c r="F34" s="8"/>
      <c r="G34" s="8"/>
      <c r="H34" s="18"/>
      <c r="L34" s="8"/>
      <c r="M34" s="8"/>
      <c r="N34" s="8"/>
      <c r="O34" s="8"/>
      <c r="P34" s="8"/>
      <c r="Q34" s="8"/>
      <c r="R34" s="8"/>
      <c r="S34" s="8"/>
    </row>
    <row r="35">
      <c r="A35" s="8"/>
      <c r="B35" s="8"/>
      <c r="C35" s="8"/>
      <c r="D35" s="8"/>
      <c r="E35" s="8"/>
      <c r="F35" s="8"/>
      <c r="G35" s="8"/>
      <c r="H35" s="18"/>
      <c r="L35" s="8"/>
      <c r="M35" s="8"/>
      <c r="N35" s="8"/>
      <c r="O35" s="8"/>
      <c r="P35" s="8"/>
      <c r="Q35" s="8"/>
      <c r="R35" s="8"/>
      <c r="S35" s="8"/>
    </row>
    <row r="36">
      <c r="A36" s="8"/>
      <c r="B36" s="8"/>
      <c r="C36" s="8"/>
      <c r="D36" s="8"/>
      <c r="E36" s="8"/>
      <c r="F36" s="8"/>
      <c r="G36" s="8"/>
      <c r="H36" s="18"/>
      <c r="L36" s="8"/>
      <c r="M36" s="8"/>
      <c r="N36" s="8"/>
      <c r="O36" s="8"/>
      <c r="P36" s="8"/>
      <c r="Q36" s="8"/>
      <c r="R36" s="8"/>
      <c r="S36" s="8"/>
    </row>
    <row r="37">
      <c r="A37" s="8"/>
      <c r="B37" s="8"/>
      <c r="C37" s="8"/>
      <c r="D37" s="8"/>
      <c r="E37" s="8"/>
      <c r="F37" s="8"/>
      <c r="G37" s="8"/>
      <c r="H37" s="18"/>
      <c r="L37" s="8"/>
      <c r="M37" s="8"/>
      <c r="N37" s="8"/>
      <c r="O37" s="8"/>
      <c r="P37" s="8"/>
      <c r="Q37" s="8"/>
      <c r="R37" s="8"/>
      <c r="S37" s="8"/>
    </row>
    <row r="38">
      <c r="H38" s="1"/>
    </row>
    <row r="39">
      <c r="H39" s="1"/>
    </row>
    <row r="40">
      <c r="H40" s="1"/>
    </row>
    <row r="41">
      <c r="H41" s="1"/>
    </row>
    <row r="42">
      <c r="H42" s="1"/>
    </row>
    <row r="43">
      <c r="H43" s="1"/>
    </row>
    <row r="44">
      <c r="H44" s="1"/>
    </row>
    <row r="45">
      <c r="H45" s="1"/>
    </row>
    <row r="46">
      <c r="H46" s="1"/>
    </row>
    <row r="47">
      <c r="H47" s="1"/>
    </row>
    <row r="48">
      <c r="H48" s="1"/>
    </row>
    <row r="49">
      <c r="H49" s="1"/>
    </row>
    <row r="50">
      <c r="H50" s="1"/>
    </row>
    <row r="51">
      <c r="H51" s="1"/>
    </row>
    <row r="52">
      <c r="H52" s="1"/>
    </row>
    <row r="53">
      <c r="H53" s="1"/>
    </row>
    <row r="54">
      <c r="H54" s="1"/>
    </row>
    <row r="55">
      <c r="H55" s="1"/>
    </row>
    <row r="56">
      <c r="H56" s="1"/>
    </row>
    <row r="57">
      <c r="H57" s="1"/>
    </row>
    <row r="58">
      <c r="H58" s="1"/>
    </row>
    <row r="59">
      <c r="H59" s="1"/>
    </row>
    <row r="60">
      <c r="H60" s="1"/>
    </row>
    <row r="61">
      <c r="H61" s="1"/>
    </row>
    <row r="62">
      <c r="H62" s="1"/>
    </row>
    <row r="63">
      <c r="H63" s="1"/>
    </row>
    <row r="64">
      <c r="H64" s="1"/>
    </row>
    <row r="65">
      <c r="H65" s="1"/>
    </row>
    <row r="66">
      <c r="H66" s="1"/>
    </row>
    <row r="67">
      <c r="H67" s="1"/>
    </row>
    <row r="68">
      <c r="H68" s="1"/>
    </row>
    <row r="69">
      <c r="H69" s="1"/>
    </row>
    <row r="70">
      <c r="H70" s="1"/>
    </row>
    <row r="71">
      <c r="H71" s="1"/>
    </row>
    <row r="72">
      <c r="H72" s="1"/>
    </row>
    <row r="73">
      <c r="H73" s="1"/>
    </row>
    <row r="74">
      <c r="H74" s="1"/>
    </row>
    <row r="75">
      <c r="H75" s="1"/>
    </row>
    <row r="76">
      <c r="H76" s="1"/>
    </row>
    <row r="77">
      <c r="H77" s="1"/>
    </row>
    <row r="78">
      <c r="H78" s="1"/>
    </row>
    <row r="79">
      <c r="H79" s="1"/>
    </row>
    <row r="80">
      <c r="H80" s="1"/>
    </row>
    <row r="81">
      <c r="H81" s="1"/>
    </row>
    <row r="82">
      <c r="H82" s="1"/>
    </row>
    <row r="83">
      <c r="H83" s="1"/>
    </row>
    <row r="84">
      <c r="H84" s="1"/>
    </row>
    <row r="85">
      <c r="H85" s="1"/>
    </row>
    <row r="86">
      <c r="H86" s="1"/>
    </row>
    <row r="87">
      <c r="H87" s="1"/>
    </row>
    <row r="88">
      <c r="H88" s="1"/>
    </row>
    <row r="89">
      <c r="H89" s="1"/>
    </row>
    <row r="90">
      <c r="H90" s="1"/>
    </row>
    <row r="91">
      <c r="H91" s="1"/>
    </row>
    <row r="92">
      <c r="H92" s="1"/>
    </row>
    <row r="93">
      <c r="H93" s="1"/>
    </row>
    <row r="94">
      <c r="H94" s="1"/>
    </row>
    <row r="95">
      <c r="H95" s="1"/>
    </row>
    <row r="96">
      <c r="H96" s="1"/>
    </row>
    <row r="97">
      <c r="H97" s="1"/>
    </row>
    <row r="98">
      <c r="H98" s="1"/>
    </row>
    <row r="99">
      <c r="H99" s="1"/>
    </row>
    <row r="100">
      <c r="H100" s="1"/>
    </row>
    <row r="101">
      <c r="H101" s="1"/>
    </row>
    <row r="102">
      <c r="H102" s="1"/>
    </row>
    <row r="103">
      <c r="H103" s="1"/>
    </row>
    <row r="104">
      <c r="H104" s="1"/>
    </row>
    <row r="105">
      <c r="H105" s="1"/>
    </row>
    <row r="106">
      <c r="H106" s="1"/>
    </row>
    <row r="107">
      <c r="H107" s="1"/>
    </row>
    <row r="108">
      <c r="H108" s="1"/>
    </row>
    <row r="109">
      <c r="H109" s="1"/>
    </row>
    <row r="110">
      <c r="H110" s="1"/>
    </row>
    <row r="111">
      <c r="H111" s="1"/>
    </row>
    <row r="112">
      <c r="H112" s="1"/>
    </row>
    <row r="113">
      <c r="H113" s="1"/>
    </row>
    <row r="114">
      <c r="H114" s="1"/>
    </row>
    <row r="115">
      <c r="H115" s="1"/>
    </row>
    <row r="116">
      <c r="H116" s="1"/>
    </row>
    <row r="117">
      <c r="H117" s="1"/>
    </row>
    <row r="118">
      <c r="H118" s="1"/>
    </row>
    <row r="119">
      <c r="H119" s="1"/>
    </row>
    <row r="120">
      <c r="H120" s="1"/>
    </row>
    <row r="121">
      <c r="H121" s="1"/>
    </row>
    <row r="122">
      <c r="H122" s="1"/>
    </row>
    <row r="123">
      <c r="H123" s="1"/>
    </row>
    <row r="124">
      <c r="H124" s="1"/>
    </row>
    <row r="125">
      <c r="H125" s="1"/>
    </row>
    <row r="126">
      <c r="H126" s="1"/>
    </row>
    <row r="127">
      <c r="H127" s="1"/>
    </row>
    <row r="128">
      <c r="H128" s="1"/>
    </row>
    <row r="129">
      <c r="H129" s="1"/>
    </row>
    <row r="130">
      <c r="H130" s="1"/>
    </row>
    <row r="131">
      <c r="H131" s="1"/>
    </row>
    <row r="132">
      <c r="H132" s="1"/>
    </row>
    <row r="133">
      <c r="H133" s="1"/>
    </row>
    <row r="134">
      <c r="H134" s="1"/>
    </row>
    <row r="135">
      <c r="H135" s="1"/>
    </row>
    <row r="136">
      <c r="H136" s="1"/>
    </row>
    <row r="137">
      <c r="H137" s="1"/>
    </row>
    <row r="138">
      <c r="H138" s="1"/>
    </row>
    <row r="139">
      <c r="H139" s="1"/>
    </row>
    <row r="140">
      <c r="H140" s="1"/>
    </row>
    <row r="141">
      <c r="H141" s="1"/>
    </row>
    <row r="142">
      <c r="H142" s="1"/>
    </row>
    <row r="143">
      <c r="H143" s="1"/>
    </row>
    <row r="144">
      <c r="H144" s="1"/>
    </row>
    <row r="145">
      <c r="H145" s="1"/>
    </row>
    <row r="146">
      <c r="H146" s="1"/>
    </row>
    <row r="147">
      <c r="H147" s="1"/>
    </row>
    <row r="148">
      <c r="H148" s="1"/>
    </row>
    <row r="149">
      <c r="H149" s="1"/>
    </row>
    <row r="150">
      <c r="H150" s="1"/>
    </row>
    <row r="151">
      <c r="H151" s="1"/>
    </row>
    <row r="152">
      <c r="H152" s="1"/>
    </row>
    <row r="153">
      <c r="H153" s="1"/>
    </row>
    <row r="154">
      <c r="H154" s="1"/>
    </row>
    <row r="155">
      <c r="H155" s="1"/>
    </row>
    <row r="156">
      <c r="H156" s="1"/>
    </row>
    <row r="157">
      <c r="H157" s="1"/>
    </row>
    <row r="158">
      <c r="H158" s="1"/>
    </row>
    <row r="159">
      <c r="H159" s="1"/>
    </row>
    <row r="160">
      <c r="H160" s="1"/>
    </row>
    <row r="161">
      <c r="H161" s="1"/>
    </row>
    <row r="162">
      <c r="H162" s="1"/>
    </row>
    <row r="163">
      <c r="H163" s="1"/>
    </row>
    <row r="164">
      <c r="H164" s="1"/>
    </row>
    <row r="165">
      <c r="H165" s="1"/>
    </row>
    <row r="166">
      <c r="H166" s="1"/>
    </row>
    <row r="167">
      <c r="H167" s="1"/>
    </row>
    <row r="168">
      <c r="H168" s="1"/>
    </row>
    <row r="169">
      <c r="H169" s="1"/>
    </row>
    <row r="170">
      <c r="H170" s="1"/>
    </row>
    <row r="171">
      <c r="H171" s="1"/>
    </row>
    <row r="172">
      <c r="H172" s="1"/>
    </row>
    <row r="173">
      <c r="H173" s="1"/>
    </row>
    <row r="174">
      <c r="H174" s="1"/>
    </row>
    <row r="175">
      <c r="H175" s="1"/>
    </row>
    <row r="176">
      <c r="H176" s="1"/>
    </row>
    <row r="177">
      <c r="H177" s="1"/>
    </row>
    <row r="178">
      <c r="H178" s="1"/>
    </row>
    <row r="179">
      <c r="H179" s="1"/>
    </row>
    <row r="180">
      <c r="H180" s="1"/>
    </row>
    <row r="181">
      <c r="H181" s="1"/>
    </row>
    <row r="182">
      <c r="H182" s="1"/>
    </row>
    <row r="183">
      <c r="H183" s="1"/>
    </row>
    <row r="184">
      <c r="H184" s="1"/>
    </row>
    <row r="185">
      <c r="H185" s="1"/>
    </row>
    <row r="186">
      <c r="H186" s="1"/>
    </row>
    <row r="187">
      <c r="H187" s="1"/>
    </row>
    <row r="188">
      <c r="H188" s="1"/>
    </row>
    <row r="189">
      <c r="H189" s="1"/>
    </row>
    <row r="190">
      <c r="H190" s="1"/>
    </row>
    <row r="191">
      <c r="H191" s="1"/>
    </row>
    <row r="192">
      <c r="H192" s="1"/>
    </row>
    <row r="193">
      <c r="H193" s="1"/>
    </row>
    <row r="194">
      <c r="H194" s="1"/>
    </row>
    <row r="195">
      <c r="H195" s="1"/>
    </row>
    <row r="196">
      <c r="H196" s="1"/>
    </row>
    <row r="197">
      <c r="H197" s="1"/>
    </row>
    <row r="198">
      <c r="H198" s="1"/>
    </row>
    <row r="199">
      <c r="H199" s="1"/>
    </row>
    <row r="200">
      <c r="H200" s="1"/>
    </row>
    <row r="201">
      <c r="H201" s="1"/>
    </row>
    <row r="202">
      <c r="H202" s="1"/>
    </row>
    <row r="203">
      <c r="H203" s="1"/>
    </row>
    <row r="204">
      <c r="H204" s="1"/>
    </row>
    <row r="205">
      <c r="H205" s="1"/>
    </row>
    <row r="206">
      <c r="H206" s="1"/>
    </row>
    <row r="207">
      <c r="H207" s="1"/>
    </row>
    <row r="208">
      <c r="H208" s="1"/>
    </row>
    <row r="209">
      <c r="H209" s="1"/>
    </row>
    <row r="210">
      <c r="H210" s="1"/>
    </row>
    <row r="211">
      <c r="H211" s="1"/>
    </row>
    <row r="212">
      <c r="H212" s="1"/>
    </row>
    <row r="213">
      <c r="H213" s="1"/>
    </row>
    <row r="214">
      <c r="H214" s="1"/>
    </row>
    <row r="215">
      <c r="H215" s="1"/>
    </row>
    <row r="216">
      <c r="H216" s="1"/>
    </row>
    <row r="217">
      <c r="H217" s="1"/>
    </row>
    <row r="218">
      <c r="H218" s="1"/>
    </row>
    <row r="219">
      <c r="H219" s="1"/>
    </row>
    <row r="220">
      <c r="H220" s="1"/>
    </row>
    <row r="221">
      <c r="H221" s="1"/>
    </row>
    <row r="222">
      <c r="H222" s="1"/>
    </row>
    <row r="223">
      <c r="H223" s="1"/>
    </row>
    <row r="224">
      <c r="H224" s="1"/>
    </row>
    <row r="225">
      <c r="H225" s="1"/>
    </row>
    <row r="226">
      <c r="H226" s="1"/>
    </row>
    <row r="227">
      <c r="H227" s="1"/>
    </row>
    <row r="228">
      <c r="H228" s="1"/>
    </row>
    <row r="229">
      <c r="H229" s="1"/>
    </row>
    <row r="230">
      <c r="H230" s="1"/>
    </row>
    <row r="231">
      <c r="H231" s="1"/>
    </row>
    <row r="232">
      <c r="H232" s="1"/>
    </row>
    <row r="233">
      <c r="H233" s="1"/>
    </row>
    <row r="234">
      <c r="H234" s="1"/>
    </row>
    <row r="235">
      <c r="H235" s="1"/>
    </row>
    <row r="236">
      <c r="H236" s="1"/>
    </row>
    <row r="237">
      <c r="H237" s="1"/>
    </row>
    <row r="238">
      <c r="H238" s="1"/>
    </row>
    <row r="239">
      <c r="H239" s="1"/>
    </row>
    <row r="240">
      <c r="H240" s="1"/>
    </row>
    <row r="241">
      <c r="H241" s="1"/>
    </row>
    <row r="242">
      <c r="H242" s="1"/>
    </row>
    <row r="243">
      <c r="H243" s="1"/>
    </row>
    <row r="244">
      <c r="H244" s="1"/>
    </row>
    <row r="245">
      <c r="H245" s="1"/>
    </row>
    <row r="246">
      <c r="H246" s="1"/>
    </row>
    <row r="247">
      <c r="H247" s="1"/>
    </row>
    <row r="248">
      <c r="H248" s="1"/>
    </row>
    <row r="249">
      <c r="H249" s="1"/>
    </row>
    <row r="250">
      <c r="H250" s="1"/>
    </row>
    <row r="251">
      <c r="H251" s="1"/>
    </row>
    <row r="252">
      <c r="H252" s="1"/>
    </row>
    <row r="253">
      <c r="H253" s="1"/>
    </row>
    <row r="254">
      <c r="H254" s="1"/>
    </row>
    <row r="255">
      <c r="H255" s="1"/>
    </row>
    <row r="256">
      <c r="H256" s="1"/>
    </row>
    <row r="257">
      <c r="H257" s="1"/>
    </row>
    <row r="258">
      <c r="H258" s="1"/>
    </row>
    <row r="259">
      <c r="H259" s="1"/>
    </row>
    <row r="260">
      <c r="H260" s="1"/>
    </row>
    <row r="261">
      <c r="H261" s="1"/>
    </row>
    <row r="262">
      <c r="H262" s="1"/>
    </row>
    <row r="263">
      <c r="H263" s="1"/>
    </row>
    <row r="264">
      <c r="H264" s="1"/>
    </row>
    <row r="265">
      <c r="H265" s="1"/>
    </row>
    <row r="266">
      <c r="H266" s="1"/>
    </row>
    <row r="267">
      <c r="H267" s="1"/>
    </row>
    <row r="268">
      <c r="H268" s="1"/>
    </row>
    <row r="269">
      <c r="H269" s="1"/>
    </row>
    <row r="270">
      <c r="H270" s="1"/>
    </row>
    <row r="271">
      <c r="H271" s="1"/>
    </row>
    <row r="272">
      <c r="H272" s="1"/>
    </row>
    <row r="273">
      <c r="H273" s="1"/>
    </row>
    <row r="274">
      <c r="H274" s="1"/>
    </row>
    <row r="275">
      <c r="H275" s="1"/>
    </row>
    <row r="276">
      <c r="H276" s="1"/>
    </row>
    <row r="277">
      <c r="H277" s="1"/>
    </row>
    <row r="278">
      <c r="H278" s="1"/>
    </row>
    <row r="279">
      <c r="H279" s="1"/>
    </row>
    <row r="280">
      <c r="H280" s="1"/>
    </row>
    <row r="281">
      <c r="H281" s="1"/>
    </row>
    <row r="282">
      <c r="H282" s="1"/>
    </row>
    <row r="283">
      <c r="H283" s="1"/>
    </row>
    <row r="284">
      <c r="H284" s="1"/>
    </row>
    <row r="285">
      <c r="H285" s="1"/>
    </row>
    <row r="286">
      <c r="H286" s="1"/>
    </row>
    <row r="287">
      <c r="H287" s="1"/>
    </row>
    <row r="288">
      <c r="H288" s="1"/>
    </row>
    <row r="289">
      <c r="H289" s="1"/>
    </row>
    <row r="290">
      <c r="H290" s="1"/>
    </row>
    <row r="291">
      <c r="H291" s="1"/>
    </row>
    <row r="292">
      <c r="H292" s="1"/>
    </row>
    <row r="293">
      <c r="H293" s="1"/>
    </row>
    <row r="294">
      <c r="H294" s="1"/>
    </row>
    <row r="295">
      <c r="H295" s="1"/>
    </row>
    <row r="296">
      <c r="H296" s="1"/>
    </row>
    <row r="297">
      <c r="H297" s="1"/>
    </row>
    <row r="298">
      <c r="H298" s="1"/>
    </row>
    <row r="299">
      <c r="H299" s="1"/>
    </row>
    <row r="300">
      <c r="H300" s="1"/>
    </row>
    <row r="301">
      <c r="H301" s="1"/>
    </row>
    <row r="302">
      <c r="H302" s="1"/>
    </row>
    <row r="303">
      <c r="H303" s="1"/>
    </row>
    <row r="304">
      <c r="H304" s="1"/>
    </row>
    <row r="305">
      <c r="H305" s="1"/>
    </row>
    <row r="306">
      <c r="H306" s="1"/>
    </row>
    <row r="307">
      <c r="H307" s="1"/>
    </row>
    <row r="308">
      <c r="H308" s="1"/>
    </row>
    <row r="309">
      <c r="H309" s="1"/>
    </row>
    <row r="310">
      <c r="H310" s="1"/>
    </row>
    <row r="311">
      <c r="H311" s="1"/>
    </row>
    <row r="312">
      <c r="H312" s="1"/>
    </row>
    <row r="313">
      <c r="H313" s="1"/>
    </row>
    <row r="314">
      <c r="H314" s="1"/>
    </row>
    <row r="315">
      <c r="H315" s="1"/>
    </row>
    <row r="316">
      <c r="H316" s="1"/>
    </row>
    <row r="317">
      <c r="H317" s="1"/>
    </row>
    <row r="318">
      <c r="H318" s="1"/>
    </row>
    <row r="319">
      <c r="H319" s="1"/>
    </row>
    <row r="320">
      <c r="H320" s="1"/>
    </row>
    <row r="321">
      <c r="H321" s="1"/>
    </row>
    <row r="322">
      <c r="H322" s="1"/>
    </row>
    <row r="323">
      <c r="H323" s="1"/>
    </row>
    <row r="324">
      <c r="H324" s="1"/>
    </row>
    <row r="325">
      <c r="H325" s="1"/>
    </row>
    <row r="326">
      <c r="H326" s="1"/>
    </row>
    <row r="327">
      <c r="H327" s="1"/>
    </row>
    <row r="328">
      <c r="H328" s="1"/>
    </row>
    <row r="329">
      <c r="H329" s="1"/>
    </row>
    <row r="330">
      <c r="H330" s="1"/>
    </row>
    <row r="331">
      <c r="H331" s="1"/>
    </row>
    <row r="332">
      <c r="H332" s="1"/>
    </row>
    <row r="333">
      <c r="H333" s="1"/>
    </row>
    <row r="334">
      <c r="H334" s="1"/>
    </row>
    <row r="335">
      <c r="H335" s="1"/>
    </row>
    <row r="336">
      <c r="H336" s="1"/>
    </row>
    <row r="337">
      <c r="H337" s="1"/>
    </row>
    <row r="338">
      <c r="H338" s="1"/>
    </row>
    <row r="339">
      <c r="H339" s="1"/>
    </row>
    <row r="340">
      <c r="H340" s="1"/>
    </row>
    <row r="341">
      <c r="H341" s="1"/>
    </row>
    <row r="342">
      <c r="H342" s="1"/>
    </row>
    <row r="343">
      <c r="H343" s="1"/>
    </row>
    <row r="344">
      <c r="H344" s="1"/>
    </row>
    <row r="345">
      <c r="H345" s="1"/>
    </row>
    <row r="346">
      <c r="H346" s="1"/>
    </row>
    <row r="347">
      <c r="H347" s="1"/>
    </row>
    <row r="348">
      <c r="H348" s="1"/>
    </row>
    <row r="349">
      <c r="H349" s="1"/>
    </row>
    <row r="350">
      <c r="H350" s="1"/>
    </row>
    <row r="351">
      <c r="H351" s="1"/>
    </row>
    <row r="352">
      <c r="H352" s="1"/>
    </row>
    <row r="353">
      <c r="H353" s="1"/>
    </row>
    <row r="354">
      <c r="H354" s="1"/>
    </row>
    <row r="355">
      <c r="H355" s="1"/>
    </row>
    <row r="356">
      <c r="H356" s="1"/>
    </row>
    <row r="357">
      <c r="H357" s="1"/>
    </row>
    <row r="358">
      <c r="H358" s="1"/>
    </row>
    <row r="359">
      <c r="H359" s="1"/>
    </row>
    <row r="360">
      <c r="H360" s="1"/>
    </row>
    <row r="361">
      <c r="H361" s="1"/>
    </row>
    <row r="362">
      <c r="H362" s="1"/>
    </row>
    <row r="363">
      <c r="H363" s="1"/>
    </row>
    <row r="364">
      <c r="H364" s="1"/>
    </row>
    <row r="365">
      <c r="H365" s="1"/>
    </row>
    <row r="366">
      <c r="H366" s="1"/>
    </row>
    <row r="367">
      <c r="H367" s="1"/>
    </row>
    <row r="368">
      <c r="H368" s="1"/>
    </row>
    <row r="369">
      <c r="H369" s="1"/>
    </row>
    <row r="370">
      <c r="H370" s="1"/>
    </row>
    <row r="371">
      <c r="H371" s="1"/>
    </row>
    <row r="372">
      <c r="H372" s="1"/>
    </row>
    <row r="373">
      <c r="H373" s="1"/>
    </row>
    <row r="374">
      <c r="H374" s="1"/>
    </row>
    <row r="375">
      <c r="H375" s="1"/>
    </row>
    <row r="376">
      <c r="H376" s="1"/>
    </row>
    <row r="377">
      <c r="H377" s="1"/>
    </row>
    <row r="378">
      <c r="H378" s="1"/>
    </row>
    <row r="379">
      <c r="H379" s="1"/>
    </row>
    <row r="380">
      <c r="H380" s="1"/>
    </row>
    <row r="381">
      <c r="H381" s="1"/>
    </row>
    <row r="382">
      <c r="H382" s="1"/>
    </row>
    <row r="383">
      <c r="H383" s="1"/>
    </row>
    <row r="384">
      <c r="H384" s="1"/>
    </row>
    <row r="385">
      <c r="H385" s="1"/>
    </row>
    <row r="386">
      <c r="H386" s="1"/>
    </row>
    <row r="387">
      <c r="H387" s="1"/>
    </row>
    <row r="388">
      <c r="H388" s="1"/>
    </row>
    <row r="389">
      <c r="H389" s="1"/>
    </row>
    <row r="390">
      <c r="H390" s="1"/>
    </row>
    <row r="391">
      <c r="H391" s="1"/>
    </row>
    <row r="392">
      <c r="H392" s="1"/>
    </row>
    <row r="393">
      <c r="H393" s="1"/>
    </row>
    <row r="394">
      <c r="H394" s="1"/>
    </row>
    <row r="395">
      <c r="H395" s="1"/>
    </row>
    <row r="396">
      <c r="H396" s="1"/>
    </row>
    <row r="397">
      <c r="H397" s="1"/>
    </row>
    <row r="398">
      <c r="H398" s="1"/>
    </row>
    <row r="399">
      <c r="H399" s="1"/>
    </row>
    <row r="400">
      <c r="H400" s="1"/>
    </row>
    <row r="401">
      <c r="H401" s="1"/>
    </row>
    <row r="402">
      <c r="H402" s="1"/>
    </row>
    <row r="403">
      <c r="H403" s="1"/>
    </row>
    <row r="404">
      <c r="H404" s="1"/>
    </row>
    <row r="405">
      <c r="H405" s="1"/>
    </row>
    <row r="406">
      <c r="H406" s="1"/>
    </row>
    <row r="407">
      <c r="H407" s="1"/>
    </row>
    <row r="408">
      <c r="H408" s="1"/>
    </row>
    <row r="409">
      <c r="H409" s="1"/>
    </row>
    <row r="410">
      <c r="H410" s="1"/>
    </row>
    <row r="411">
      <c r="H411" s="1"/>
    </row>
    <row r="412">
      <c r="H412" s="1"/>
    </row>
    <row r="413">
      <c r="H413" s="1"/>
    </row>
    <row r="414">
      <c r="H414" s="1"/>
    </row>
    <row r="415">
      <c r="H415" s="1"/>
    </row>
    <row r="416">
      <c r="H416" s="1"/>
    </row>
    <row r="417">
      <c r="H417" s="1"/>
    </row>
    <row r="418">
      <c r="H418" s="1"/>
    </row>
    <row r="419">
      <c r="H419" s="1"/>
    </row>
    <row r="420">
      <c r="H420" s="1"/>
    </row>
    <row r="421">
      <c r="H421" s="1"/>
    </row>
    <row r="422">
      <c r="H422" s="1"/>
    </row>
    <row r="423">
      <c r="H423" s="1"/>
    </row>
    <row r="424">
      <c r="H424" s="1"/>
    </row>
    <row r="425">
      <c r="H425" s="1"/>
    </row>
    <row r="426">
      <c r="H426" s="1"/>
    </row>
    <row r="427">
      <c r="H427" s="1"/>
    </row>
    <row r="428">
      <c r="H428" s="1"/>
    </row>
    <row r="429">
      <c r="H429" s="1"/>
    </row>
    <row r="430">
      <c r="H430" s="1"/>
    </row>
    <row r="431">
      <c r="H431" s="1"/>
    </row>
    <row r="432">
      <c r="H432" s="1"/>
    </row>
    <row r="433">
      <c r="H433" s="1"/>
    </row>
    <row r="434">
      <c r="H434" s="1"/>
    </row>
    <row r="435">
      <c r="H435" s="1"/>
    </row>
    <row r="436">
      <c r="H436" s="1"/>
    </row>
    <row r="437">
      <c r="H437" s="1"/>
    </row>
    <row r="438">
      <c r="H438" s="1"/>
    </row>
    <row r="439">
      <c r="H439" s="1"/>
    </row>
    <row r="440">
      <c r="H440" s="1"/>
    </row>
    <row r="441">
      <c r="H441" s="1"/>
    </row>
    <row r="442">
      <c r="H442" s="1"/>
    </row>
    <row r="443">
      <c r="H443" s="1"/>
    </row>
    <row r="444">
      <c r="H444" s="1"/>
    </row>
    <row r="445">
      <c r="H445" s="1"/>
    </row>
    <row r="446">
      <c r="H446" s="1"/>
    </row>
    <row r="447">
      <c r="H447" s="1"/>
    </row>
    <row r="448">
      <c r="H448" s="1"/>
    </row>
    <row r="449">
      <c r="H449" s="1"/>
    </row>
    <row r="450">
      <c r="H450" s="1"/>
    </row>
    <row r="451">
      <c r="H451" s="1"/>
    </row>
    <row r="452">
      <c r="H452" s="1"/>
    </row>
    <row r="453">
      <c r="H453" s="1"/>
    </row>
    <row r="454">
      <c r="H454" s="1"/>
    </row>
    <row r="455">
      <c r="H455" s="1"/>
    </row>
    <row r="456">
      <c r="H456" s="1"/>
    </row>
    <row r="457">
      <c r="H457" s="1"/>
    </row>
    <row r="458">
      <c r="H458" s="1"/>
    </row>
    <row r="459">
      <c r="H459" s="1"/>
    </row>
    <row r="460">
      <c r="H460" s="1"/>
    </row>
    <row r="461">
      <c r="H461" s="1"/>
    </row>
    <row r="462">
      <c r="H462" s="1"/>
    </row>
    <row r="463">
      <c r="H463" s="1"/>
    </row>
    <row r="464">
      <c r="H464" s="1"/>
    </row>
    <row r="465">
      <c r="H465" s="1"/>
    </row>
    <row r="466">
      <c r="H466" s="1"/>
    </row>
    <row r="467">
      <c r="H467" s="1"/>
    </row>
    <row r="468">
      <c r="H468" s="1"/>
    </row>
    <row r="469">
      <c r="H469" s="1"/>
    </row>
    <row r="470">
      <c r="H470" s="1"/>
    </row>
    <row r="471">
      <c r="H471" s="1"/>
    </row>
    <row r="472">
      <c r="H472" s="1"/>
    </row>
    <row r="473">
      <c r="H473" s="1"/>
    </row>
    <row r="474">
      <c r="H474" s="1"/>
    </row>
    <row r="475">
      <c r="H475" s="1"/>
    </row>
    <row r="476">
      <c r="H476" s="1"/>
    </row>
    <row r="477">
      <c r="H477" s="1"/>
    </row>
    <row r="478">
      <c r="H478" s="1"/>
    </row>
    <row r="479">
      <c r="H479" s="1"/>
    </row>
    <row r="480">
      <c r="H480" s="1"/>
    </row>
    <row r="481">
      <c r="H481" s="1"/>
    </row>
    <row r="482">
      <c r="H482" s="1"/>
    </row>
    <row r="483">
      <c r="H483" s="1"/>
    </row>
    <row r="484">
      <c r="H484" s="1"/>
    </row>
    <row r="485">
      <c r="H485" s="1"/>
    </row>
    <row r="486">
      <c r="H486" s="1"/>
    </row>
    <row r="487">
      <c r="H487" s="1"/>
    </row>
    <row r="488">
      <c r="H488" s="1"/>
    </row>
    <row r="489">
      <c r="H489" s="1"/>
    </row>
    <row r="490">
      <c r="H490" s="1"/>
    </row>
    <row r="491">
      <c r="H491" s="1"/>
    </row>
    <row r="492">
      <c r="H492" s="1"/>
    </row>
    <row r="493">
      <c r="H493" s="1"/>
    </row>
    <row r="494">
      <c r="H494" s="1"/>
    </row>
    <row r="495">
      <c r="H495" s="1"/>
    </row>
    <row r="496">
      <c r="H496" s="1"/>
    </row>
    <row r="497">
      <c r="H497" s="1"/>
    </row>
    <row r="498">
      <c r="H498" s="1"/>
    </row>
    <row r="499">
      <c r="H499" s="1"/>
    </row>
    <row r="500">
      <c r="H500" s="1"/>
    </row>
    <row r="501">
      <c r="H501" s="1"/>
    </row>
    <row r="502">
      <c r="H502" s="1"/>
    </row>
    <row r="503">
      <c r="H503" s="1"/>
    </row>
    <row r="504">
      <c r="H504" s="1"/>
    </row>
    <row r="505">
      <c r="H505" s="1"/>
    </row>
    <row r="506">
      <c r="H506" s="1"/>
    </row>
    <row r="507">
      <c r="H507" s="1"/>
    </row>
    <row r="508">
      <c r="H508" s="1"/>
    </row>
    <row r="509">
      <c r="H509" s="1"/>
    </row>
    <row r="510">
      <c r="H510" s="1"/>
    </row>
    <row r="511">
      <c r="H511" s="1"/>
    </row>
    <row r="512">
      <c r="H512" s="1"/>
    </row>
    <row r="513">
      <c r="H513" s="1"/>
    </row>
    <row r="514">
      <c r="H514" s="1"/>
    </row>
    <row r="515">
      <c r="H515" s="1"/>
    </row>
    <row r="516">
      <c r="H516" s="1"/>
    </row>
    <row r="517">
      <c r="H517" s="1"/>
    </row>
    <row r="518">
      <c r="H518" s="1"/>
    </row>
    <row r="519">
      <c r="H519" s="1"/>
    </row>
    <row r="520">
      <c r="H520" s="1"/>
    </row>
    <row r="521">
      <c r="H521" s="1"/>
    </row>
    <row r="522">
      <c r="H522" s="1"/>
    </row>
    <row r="523">
      <c r="H523" s="1"/>
    </row>
    <row r="524">
      <c r="H524" s="1"/>
    </row>
    <row r="525">
      <c r="H525" s="1"/>
    </row>
    <row r="526">
      <c r="H526" s="1"/>
    </row>
    <row r="527">
      <c r="H527" s="1"/>
    </row>
    <row r="528">
      <c r="H528" s="1"/>
    </row>
    <row r="529">
      <c r="H529" s="1"/>
    </row>
    <row r="530">
      <c r="H530" s="1"/>
    </row>
    <row r="531">
      <c r="H531" s="1"/>
    </row>
    <row r="532">
      <c r="H532" s="1"/>
    </row>
    <row r="533">
      <c r="H533" s="1"/>
    </row>
    <row r="534">
      <c r="H534" s="1"/>
    </row>
    <row r="535">
      <c r="H535" s="1"/>
    </row>
    <row r="536">
      <c r="H536" s="1"/>
    </row>
    <row r="537">
      <c r="H537" s="1"/>
    </row>
    <row r="538">
      <c r="H538" s="1"/>
    </row>
    <row r="539">
      <c r="H539" s="1"/>
    </row>
    <row r="540">
      <c r="H540" s="1"/>
    </row>
    <row r="541">
      <c r="H541" s="1"/>
    </row>
    <row r="542">
      <c r="H542" s="1"/>
    </row>
    <row r="543">
      <c r="H543" s="1"/>
    </row>
    <row r="544">
      <c r="H544" s="1"/>
    </row>
    <row r="545">
      <c r="H545" s="1"/>
    </row>
    <row r="546">
      <c r="H546" s="1"/>
    </row>
    <row r="547">
      <c r="H547" s="1"/>
    </row>
    <row r="548">
      <c r="H548" s="1"/>
    </row>
    <row r="549">
      <c r="H549" s="1"/>
    </row>
    <row r="550">
      <c r="H550" s="1"/>
    </row>
    <row r="551">
      <c r="H551" s="1"/>
    </row>
    <row r="552">
      <c r="H552" s="1"/>
    </row>
    <row r="553">
      <c r="H553" s="1"/>
    </row>
    <row r="554">
      <c r="H554" s="1"/>
    </row>
    <row r="555">
      <c r="H555" s="1"/>
    </row>
    <row r="556">
      <c r="H556" s="1"/>
    </row>
    <row r="557">
      <c r="H557" s="1"/>
    </row>
    <row r="558">
      <c r="H558" s="1"/>
    </row>
    <row r="559">
      <c r="H559" s="1"/>
    </row>
    <row r="560">
      <c r="H560" s="1"/>
    </row>
    <row r="561">
      <c r="H561" s="1"/>
    </row>
    <row r="562">
      <c r="H562" s="1"/>
    </row>
    <row r="563">
      <c r="H563" s="1"/>
    </row>
    <row r="564">
      <c r="H564" s="1"/>
    </row>
    <row r="565">
      <c r="H565" s="1"/>
    </row>
    <row r="566">
      <c r="H566" s="1"/>
    </row>
    <row r="567">
      <c r="H567" s="1"/>
    </row>
    <row r="568">
      <c r="H568" s="1"/>
    </row>
    <row r="569">
      <c r="H569" s="1"/>
    </row>
    <row r="570">
      <c r="H570" s="1"/>
    </row>
    <row r="571">
      <c r="H571" s="1"/>
    </row>
    <row r="572">
      <c r="H572" s="1"/>
    </row>
    <row r="573">
      <c r="H573" s="1"/>
    </row>
    <row r="574">
      <c r="H574" s="1"/>
    </row>
    <row r="575">
      <c r="H575" s="1"/>
    </row>
    <row r="576">
      <c r="H576" s="1"/>
    </row>
    <row r="577">
      <c r="H577" s="1"/>
    </row>
    <row r="578">
      <c r="H578" s="1"/>
    </row>
    <row r="579">
      <c r="H579" s="1"/>
    </row>
    <row r="580">
      <c r="H580" s="1"/>
    </row>
    <row r="581">
      <c r="H581" s="1"/>
    </row>
    <row r="582">
      <c r="H582" s="1"/>
    </row>
    <row r="583">
      <c r="H583" s="1"/>
    </row>
    <row r="584">
      <c r="H584" s="1"/>
    </row>
    <row r="585">
      <c r="H585" s="1"/>
    </row>
    <row r="586">
      <c r="H586" s="1"/>
    </row>
    <row r="587">
      <c r="H587" s="1"/>
    </row>
    <row r="588">
      <c r="H588" s="1"/>
    </row>
    <row r="589">
      <c r="H589" s="1"/>
    </row>
    <row r="590">
      <c r="H590" s="1"/>
    </row>
    <row r="591">
      <c r="H591" s="1"/>
    </row>
    <row r="592">
      <c r="H592" s="1"/>
    </row>
    <row r="593">
      <c r="H593" s="1"/>
    </row>
    <row r="594">
      <c r="H594" s="1"/>
    </row>
    <row r="595">
      <c r="H595" s="1"/>
    </row>
    <row r="596">
      <c r="H596" s="1"/>
    </row>
    <row r="597">
      <c r="H597" s="1"/>
    </row>
    <row r="598">
      <c r="H598" s="1"/>
    </row>
    <row r="599">
      <c r="H599" s="1"/>
    </row>
    <row r="600">
      <c r="H600" s="1"/>
    </row>
    <row r="601">
      <c r="H601" s="1"/>
    </row>
    <row r="602">
      <c r="H602" s="1"/>
    </row>
    <row r="603">
      <c r="H603" s="1"/>
    </row>
    <row r="604">
      <c r="H604" s="1"/>
    </row>
    <row r="605">
      <c r="H605" s="1"/>
    </row>
    <row r="606">
      <c r="H606" s="1"/>
    </row>
    <row r="607">
      <c r="H607" s="1"/>
    </row>
    <row r="608">
      <c r="H608" s="1"/>
    </row>
    <row r="609">
      <c r="H609" s="1"/>
    </row>
    <row r="610">
      <c r="H610" s="1"/>
    </row>
    <row r="611">
      <c r="H611" s="1"/>
    </row>
    <row r="612">
      <c r="H612" s="1"/>
    </row>
    <row r="613">
      <c r="H613" s="1"/>
    </row>
    <row r="614">
      <c r="H614" s="1"/>
    </row>
    <row r="615">
      <c r="H615" s="1"/>
    </row>
    <row r="616">
      <c r="H616" s="1"/>
    </row>
    <row r="617">
      <c r="H617" s="1"/>
    </row>
    <row r="618">
      <c r="H618" s="1"/>
    </row>
    <row r="619">
      <c r="H619" s="1"/>
    </row>
    <row r="620">
      <c r="H620" s="1"/>
    </row>
    <row r="621">
      <c r="H621" s="1"/>
    </row>
    <row r="622">
      <c r="H622" s="1"/>
    </row>
    <row r="623">
      <c r="H623" s="1"/>
    </row>
    <row r="624">
      <c r="H624" s="1"/>
    </row>
    <row r="625">
      <c r="H625" s="1"/>
    </row>
    <row r="626">
      <c r="H626" s="1"/>
    </row>
    <row r="627">
      <c r="H627" s="1"/>
    </row>
    <row r="628">
      <c r="H628" s="1"/>
    </row>
    <row r="629">
      <c r="H629" s="1"/>
    </row>
    <row r="630">
      <c r="H630" s="1"/>
    </row>
    <row r="631">
      <c r="H631" s="1"/>
    </row>
    <row r="632">
      <c r="H632" s="1"/>
    </row>
    <row r="633">
      <c r="H633" s="1"/>
    </row>
    <row r="634">
      <c r="H634" s="1"/>
    </row>
    <row r="635">
      <c r="H635" s="1"/>
    </row>
    <row r="636">
      <c r="H636" s="1"/>
    </row>
    <row r="637">
      <c r="H637" s="1"/>
    </row>
    <row r="638">
      <c r="H638" s="1"/>
    </row>
    <row r="639">
      <c r="H639" s="1"/>
    </row>
    <row r="640">
      <c r="H640" s="1"/>
    </row>
    <row r="641">
      <c r="H641" s="1"/>
    </row>
    <row r="642">
      <c r="H642" s="1"/>
    </row>
    <row r="643">
      <c r="H643" s="1"/>
    </row>
    <row r="644">
      <c r="H644" s="1"/>
    </row>
    <row r="645">
      <c r="H645" s="1"/>
    </row>
    <row r="646">
      <c r="H646" s="1"/>
    </row>
    <row r="647">
      <c r="H647" s="1"/>
    </row>
    <row r="648">
      <c r="H648" s="1"/>
    </row>
    <row r="649">
      <c r="H649" s="1"/>
    </row>
    <row r="650">
      <c r="H650" s="1"/>
    </row>
    <row r="651">
      <c r="H651" s="1"/>
    </row>
    <row r="652">
      <c r="H652" s="1"/>
    </row>
    <row r="653">
      <c r="H653" s="1"/>
    </row>
    <row r="654">
      <c r="H654" s="1"/>
    </row>
    <row r="655">
      <c r="H655" s="1"/>
    </row>
    <row r="656">
      <c r="H656" s="1"/>
    </row>
    <row r="657">
      <c r="H657" s="1"/>
    </row>
    <row r="658">
      <c r="H658" s="1"/>
    </row>
    <row r="659">
      <c r="H659" s="1"/>
    </row>
    <row r="660">
      <c r="H660" s="1"/>
    </row>
    <row r="661">
      <c r="H661" s="1"/>
    </row>
    <row r="662">
      <c r="H662" s="1"/>
    </row>
    <row r="663">
      <c r="H663" s="1"/>
    </row>
    <row r="664">
      <c r="H664" s="1"/>
    </row>
    <row r="665">
      <c r="H665" s="1"/>
    </row>
    <row r="666">
      <c r="H666" s="1"/>
    </row>
    <row r="667">
      <c r="H667" s="1"/>
    </row>
    <row r="668">
      <c r="H668" s="1"/>
    </row>
    <row r="669">
      <c r="H669" s="1"/>
    </row>
    <row r="670">
      <c r="H670" s="1"/>
    </row>
    <row r="671">
      <c r="H671" s="1"/>
    </row>
    <row r="672">
      <c r="H672" s="1"/>
    </row>
    <row r="673">
      <c r="H673" s="1"/>
    </row>
    <row r="674">
      <c r="H674" s="1"/>
    </row>
    <row r="675">
      <c r="H675" s="1"/>
    </row>
    <row r="676">
      <c r="H676" s="1"/>
    </row>
    <row r="677">
      <c r="H677" s="1"/>
    </row>
    <row r="678">
      <c r="H678" s="1"/>
    </row>
    <row r="679">
      <c r="H679" s="1"/>
    </row>
    <row r="680">
      <c r="H680" s="1"/>
    </row>
    <row r="681">
      <c r="H681" s="1"/>
    </row>
    <row r="682">
      <c r="H682" s="1"/>
    </row>
    <row r="683">
      <c r="H683" s="1"/>
    </row>
    <row r="684">
      <c r="H684" s="1"/>
    </row>
    <row r="685">
      <c r="H685" s="1"/>
    </row>
    <row r="686">
      <c r="H686" s="1"/>
    </row>
    <row r="687">
      <c r="H687" s="1"/>
    </row>
    <row r="688">
      <c r="H688" s="1"/>
    </row>
    <row r="689">
      <c r="H689" s="1"/>
    </row>
    <row r="690">
      <c r="H690" s="1"/>
    </row>
    <row r="691">
      <c r="H691" s="1"/>
    </row>
    <row r="692">
      <c r="H692" s="1"/>
    </row>
    <row r="693">
      <c r="H693" s="1"/>
    </row>
    <row r="694">
      <c r="H694" s="1"/>
    </row>
    <row r="695">
      <c r="H695" s="1"/>
    </row>
    <row r="696">
      <c r="H696" s="1"/>
    </row>
    <row r="697">
      <c r="H697" s="1"/>
    </row>
    <row r="698">
      <c r="H698" s="1"/>
    </row>
    <row r="699">
      <c r="H699" s="1"/>
    </row>
    <row r="700">
      <c r="H700" s="1"/>
    </row>
    <row r="701">
      <c r="H701" s="1"/>
    </row>
    <row r="702">
      <c r="H702" s="1"/>
    </row>
    <row r="703">
      <c r="H703" s="1"/>
    </row>
    <row r="704">
      <c r="H704" s="1"/>
    </row>
    <row r="705">
      <c r="H705" s="1"/>
    </row>
    <row r="706">
      <c r="H706" s="1"/>
    </row>
    <row r="707">
      <c r="H707" s="1"/>
    </row>
    <row r="708">
      <c r="H708" s="1"/>
    </row>
    <row r="709">
      <c r="H709" s="1"/>
    </row>
    <row r="710">
      <c r="H710" s="1"/>
    </row>
    <row r="711">
      <c r="H711" s="1"/>
    </row>
    <row r="712">
      <c r="H712" s="1"/>
    </row>
    <row r="713">
      <c r="H713" s="1"/>
    </row>
    <row r="714">
      <c r="H714" s="1"/>
    </row>
    <row r="715">
      <c r="H715" s="1"/>
    </row>
    <row r="716">
      <c r="H716" s="1"/>
    </row>
    <row r="717">
      <c r="H717" s="1"/>
    </row>
    <row r="718">
      <c r="H718" s="1"/>
    </row>
    <row r="719">
      <c r="H719" s="1"/>
    </row>
    <row r="720">
      <c r="H720" s="1"/>
    </row>
    <row r="721">
      <c r="H721" s="1"/>
    </row>
    <row r="722">
      <c r="H722" s="1"/>
    </row>
    <row r="723">
      <c r="H723" s="1"/>
    </row>
    <row r="724">
      <c r="H724" s="1"/>
    </row>
    <row r="725">
      <c r="H725" s="1"/>
    </row>
    <row r="726">
      <c r="H726" s="1"/>
    </row>
    <row r="727">
      <c r="H727" s="1"/>
    </row>
    <row r="728">
      <c r="H728" s="1"/>
    </row>
    <row r="729">
      <c r="H729" s="1"/>
    </row>
    <row r="730">
      <c r="H730" s="1"/>
    </row>
    <row r="731">
      <c r="H731" s="1"/>
    </row>
    <row r="732">
      <c r="H732" s="1"/>
    </row>
    <row r="733">
      <c r="H733" s="1"/>
    </row>
    <row r="734">
      <c r="H734" s="1"/>
    </row>
    <row r="735">
      <c r="H735" s="1"/>
    </row>
    <row r="736">
      <c r="H736" s="1"/>
    </row>
    <row r="737">
      <c r="H737" s="1"/>
    </row>
    <row r="738">
      <c r="H738" s="1"/>
    </row>
    <row r="739">
      <c r="H739" s="1"/>
    </row>
    <row r="740">
      <c r="H740" s="1"/>
    </row>
    <row r="741">
      <c r="H741" s="1"/>
    </row>
    <row r="742">
      <c r="H742" s="1"/>
    </row>
    <row r="743">
      <c r="H743" s="1"/>
    </row>
    <row r="744">
      <c r="H744" s="1"/>
    </row>
    <row r="745">
      <c r="H745" s="1"/>
    </row>
    <row r="746">
      <c r="H746" s="1"/>
    </row>
    <row r="747">
      <c r="H747" s="1"/>
    </row>
    <row r="748">
      <c r="H748" s="1"/>
    </row>
    <row r="749">
      <c r="H749" s="1"/>
    </row>
    <row r="750">
      <c r="H750" s="1"/>
    </row>
    <row r="751">
      <c r="H751" s="1"/>
    </row>
    <row r="752">
      <c r="H752" s="1"/>
    </row>
    <row r="753">
      <c r="H753" s="1"/>
    </row>
    <row r="754">
      <c r="H754" s="1"/>
    </row>
    <row r="755">
      <c r="H755" s="1"/>
    </row>
    <row r="756">
      <c r="H756" s="1"/>
    </row>
    <row r="757">
      <c r="H757" s="1"/>
    </row>
    <row r="758">
      <c r="H758" s="1"/>
    </row>
    <row r="759">
      <c r="H759" s="1"/>
    </row>
    <row r="760">
      <c r="H760" s="1"/>
    </row>
    <row r="761">
      <c r="H761" s="1"/>
    </row>
    <row r="762">
      <c r="H762" s="1"/>
    </row>
    <row r="763">
      <c r="H763" s="1"/>
    </row>
    <row r="764">
      <c r="H764" s="1"/>
    </row>
    <row r="765">
      <c r="H765" s="1"/>
    </row>
    <row r="766">
      <c r="H766" s="1"/>
    </row>
    <row r="767">
      <c r="H767" s="1"/>
    </row>
    <row r="768">
      <c r="H768" s="1"/>
    </row>
    <row r="769">
      <c r="H769" s="1"/>
    </row>
    <row r="770">
      <c r="H770" s="1"/>
    </row>
    <row r="771">
      <c r="H771" s="1"/>
    </row>
    <row r="772">
      <c r="H772" s="1"/>
    </row>
    <row r="773">
      <c r="H773" s="1"/>
    </row>
    <row r="774">
      <c r="H774" s="1"/>
    </row>
    <row r="775">
      <c r="H775" s="1"/>
    </row>
    <row r="776">
      <c r="H776" s="1"/>
    </row>
    <row r="777">
      <c r="H777" s="1"/>
    </row>
    <row r="778">
      <c r="H778" s="1"/>
    </row>
    <row r="779">
      <c r="H779" s="1"/>
    </row>
    <row r="780">
      <c r="H780" s="1"/>
    </row>
    <row r="781">
      <c r="H781" s="1"/>
    </row>
    <row r="782">
      <c r="H782" s="1"/>
    </row>
    <row r="783">
      <c r="H783" s="1"/>
    </row>
    <row r="784">
      <c r="H784" s="1"/>
    </row>
    <row r="785">
      <c r="H785" s="1"/>
    </row>
    <row r="786">
      <c r="H786" s="1"/>
    </row>
    <row r="787">
      <c r="H787" s="1"/>
    </row>
    <row r="788">
      <c r="H788" s="1"/>
    </row>
    <row r="789">
      <c r="H789" s="1"/>
    </row>
    <row r="790">
      <c r="H790" s="1"/>
    </row>
    <row r="791">
      <c r="H791" s="1"/>
    </row>
    <row r="792">
      <c r="H792" s="1"/>
    </row>
    <row r="793">
      <c r="H793" s="1"/>
    </row>
    <row r="794">
      <c r="H794" s="1"/>
    </row>
    <row r="795">
      <c r="H795" s="1"/>
    </row>
    <row r="796">
      <c r="H796" s="1"/>
    </row>
    <row r="797">
      <c r="H797" s="1"/>
    </row>
    <row r="798">
      <c r="H798" s="1"/>
    </row>
    <row r="799">
      <c r="H799" s="1"/>
    </row>
    <row r="800">
      <c r="H800" s="1"/>
    </row>
    <row r="801">
      <c r="H801" s="1"/>
    </row>
    <row r="802">
      <c r="H802" s="1"/>
    </row>
    <row r="803">
      <c r="H803" s="1"/>
    </row>
    <row r="804">
      <c r="H804" s="1"/>
    </row>
    <row r="805">
      <c r="H805" s="1"/>
    </row>
    <row r="806">
      <c r="H806" s="1"/>
    </row>
    <row r="807">
      <c r="H807" s="1"/>
    </row>
    <row r="808">
      <c r="H808" s="1"/>
    </row>
    <row r="809">
      <c r="H809" s="1"/>
    </row>
    <row r="810">
      <c r="H810" s="1"/>
    </row>
    <row r="811">
      <c r="H811" s="1"/>
    </row>
    <row r="812">
      <c r="H812" s="1"/>
    </row>
    <row r="813">
      <c r="H813" s="1"/>
    </row>
    <row r="814">
      <c r="H814" s="1"/>
    </row>
    <row r="815">
      <c r="H815" s="1"/>
    </row>
    <row r="816">
      <c r="H816" s="1"/>
    </row>
    <row r="817">
      <c r="H817" s="1"/>
    </row>
    <row r="818">
      <c r="H818" s="1"/>
    </row>
    <row r="819">
      <c r="H819" s="1"/>
    </row>
    <row r="820">
      <c r="H820" s="1"/>
    </row>
    <row r="821">
      <c r="H821" s="1"/>
    </row>
    <row r="822">
      <c r="H822" s="1"/>
    </row>
    <row r="823">
      <c r="H823" s="1"/>
    </row>
    <row r="824">
      <c r="H824" s="1"/>
    </row>
    <row r="825">
      <c r="H825" s="1"/>
    </row>
    <row r="826">
      <c r="H826" s="1"/>
    </row>
    <row r="827">
      <c r="H827" s="1"/>
    </row>
    <row r="828">
      <c r="H828" s="1"/>
    </row>
    <row r="829">
      <c r="H829" s="1"/>
    </row>
    <row r="830">
      <c r="H830" s="1"/>
    </row>
    <row r="831">
      <c r="H831" s="1"/>
    </row>
    <row r="832">
      <c r="H832" s="1"/>
    </row>
    <row r="833">
      <c r="H833" s="1"/>
    </row>
    <row r="834">
      <c r="H834" s="1"/>
    </row>
    <row r="835">
      <c r="H835" s="1"/>
    </row>
    <row r="836">
      <c r="H836" s="1"/>
    </row>
    <row r="837">
      <c r="H837" s="1"/>
    </row>
    <row r="838">
      <c r="H838" s="1"/>
    </row>
    <row r="839">
      <c r="H839" s="1"/>
    </row>
    <row r="840">
      <c r="H840" s="1"/>
    </row>
    <row r="841">
      <c r="H841" s="1"/>
    </row>
    <row r="842">
      <c r="H842" s="1"/>
    </row>
    <row r="843">
      <c r="H843" s="1"/>
    </row>
    <row r="844">
      <c r="H844" s="1"/>
    </row>
    <row r="845">
      <c r="H845" s="1"/>
    </row>
    <row r="846">
      <c r="H846" s="1"/>
    </row>
    <row r="847">
      <c r="H847" s="1"/>
    </row>
    <row r="848">
      <c r="H848" s="1"/>
    </row>
    <row r="849">
      <c r="H849" s="1"/>
    </row>
    <row r="850">
      <c r="H850" s="1"/>
    </row>
    <row r="851">
      <c r="H851" s="1"/>
    </row>
    <row r="852">
      <c r="H852" s="1"/>
    </row>
    <row r="853">
      <c r="H853" s="1"/>
    </row>
    <row r="854">
      <c r="H854" s="1"/>
    </row>
    <row r="855">
      <c r="H855" s="1"/>
    </row>
    <row r="856">
      <c r="H856" s="1"/>
    </row>
    <row r="857">
      <c r="H857" s="1"/>
    </row>
    <row r="858">
      <c r="H858" s="1"/>
    </row>
    <row r="859">
      <c r="H859" s="1"/>
    </row>
    <row r="860">
      <c r="H860" s="1"/>
    </row>
    <row r="861">
      <c r="H861" s="1"/>
    </row>
    <row r="862">
      <c r="H862" s="1"/>
    </row>
    <row r="863">
      <c r="H863" s="1"/>
    </row>
    <row r="864">
      <c r="H864" s="1"/>
    </row>
    <row r="865">
      <c r="H865" s="1"/>
    </row>
    <row r="866">
      <c r="H866" s="1"/>
    </row>
    <row r="867">
      <c r="H867" s="1"/>
    </row>
    <row r="868">
      <c r="H868" s="1"/>
    </row>
    <row r="869">
      <c r="H869" s="1"/>
    </row>
    <row r="870">
      <c r="H870" s="1"/>
    </row>
    <row r="871">
      <c r="H871" s="1"/>
    </row>
    <row r="872">
      <c r="H872" s="1"/>
    </row>
    <row r="873">
      <c r="H873" s="1"/>
    </row>
    <row r="874">
      <c r="H874" s="1"/>
    </row>
    <row r="875">
      <c r="H875" s="1"/>
    </row>
    <row r="876">
      <c r="H876" s="1"/>
    </row>
    <row r="877">
      <c r="H877" s="1"/>
    </row>
    <row r="878">
      <c r="H878" s="1"/>
    </row>
    <row r="879">
      <c r="H879" s="1"/>
    </row>
    <row r="880">
      <c r="H880" s="1"/>
    </row>
    <row r="881">
      <c r="H881" s="1"/>
    </row>
    <row r="882">
      <c r="H882" s="1"/>
    </row>
    <row r="883">
      <c r="H883" s="1"/>
    </row>
    <row r="884">
      <c r="H884" s="1"/>
    </row>
    <row r="885">
      <c r="H885" s="1"/>
    </row>
    <row r="886">
      <c r="H886" s="1"/>
    </row>
    <row r="887">
      <c r="H887" s="1"/>
    </row>
    <row r="888">
      <c r="H888" s="1"/>
    </row>
    <row r="889">
      <c r="H889" s="1"/>
    </row>
    <row r="890">
      <c r="H890" s="1"/>
    </row>
    <row r="891">
      <c r="H891" s="1"/>
    </row>
    <row r="892">
      <c r="H892" s="1"/>
    </row>
    <row r="893">
      <c r="H893" s="1"/>
    </row>
    <row r="894">
      <c r="H894" s="1"/>
    </row>
    <row r="895">
      <c r="H895" s="1"/>
    </row>
    <row r="896">
      <c r="H896" s="1"/>
    </row>
    <row r="897">
      <c r="H897" s="1"/>
    </row>
    <row r="898">
      <c r="H898" s="1"/>
    </row>
    <row r="899">
      <c r="H899" s="1"/>
    </row>
    <row r="900">
      <c r="H900" s="1"/>
    </row>
    <row r="901">
      <c r="H901" s="1"/>
    </row>
    <row r="902">
      <c r="H902" s="1"/>
    </row>
    <row r="903">
      <c r="H903" s="1"/>
    </row>
    <row r="904">
      <c r="H904" s="1"/>
    </row>
    <row r="905">
      <c r="H905" s="1"/>
    </row>
    <row r="906">
      <c r="H906" s="1"/>
    </row>
    <row r="907">
      <c r="H907" s="1"/>
    </row>
    <row r="908">
      <c r="H908" s="1"/>
    </row>
    <row r="909">
      <c r="H909" s="1"/>
    </row>
    <row r="910">
      <c r="H910" s="1"/>
    </row>
    <row r="911">
      <c r="H911" s="1"/>
    </row>
    <row r="912">
      <c r="H912" s="1"/>
    </row>
    <row r="913">
      <c r="H913" s="1"/>
    </row>
    <row r="914">
      <c r="H914" s="1"/>
    </row>
    <row r="915">
      <c r="H915" s="1"/>
    </row>
    <row r="916">
      <c r="H916" s="1"/>
    </row>
    <row r="917">
      <c r="H917" s="1"/>
    </row>
    <row r="918">
      <c r="H918" s="1"/>
    </row>
    <row r="919">
      <c r="H919" s="1"/>
    </row>
    <row r="920">
      <c r="H920" s="1"/>
    </row>
    <row r="921">
      <c r="H921" s="1"/>
    </row>
    <row r="922">
      <c r="H922" s="1"/>
    </row>
    <row r="923">
      <c r="H923" s="1"/>
    </row>
    <row r="924">
      <c r="H924" s="1"/>
    </row>
    <row r="925">
      <c r="H925" s="1"/>
    </row>
    <row r="926">
      <c r="H926" s="1"/>
    </row>
    <row r="927">
      <c r="H927" s="1"/>
    </row>
    <row r="928">
      <c r="H928" s="1"/>
    </row>
    <row r="929">
      <c r="H929" s="1"/>
    </row>
    <row r="930">
      <c r="H930" s="1"/>
    </row>
    <row r="931">
      <c r="H931" s="1"/>
    </row>
    <row r="932">
      <c r="H932" s="1"/>
    </row>
    <row r="933">
      <c r="H933" s="1"/>
    </row>
    <row r="934">
      <c r="H934" s="1"/>
    </row>
    <row r="935">
      <c r="H935" s="1"/>
    </row>
    <row r="936">
      <c r="H936" s="1"/>
    </row>
    <row r="937">
      <c r="H937" s="1"/>
    </row>
    <row r="938">
      <c r="H938" s="1"/>
    </row>
    <row r="939">
      <c r="H939" s="1"/>
    </row>
    <row r="940">
      <c r="H940" s="1"/>
    </row>
    <row r="941">
      <c r="H941" s="1"/>
    </row>
    <row r="942">
      <c r="H942" s="1"/>
    </row>
    <row r="943">
      <c r="H943" s="1"/>
    </row>
    <row r="944">
      <c r="H944" s="1"/>
    </row>
    <row r="945">
      <c r="H945" s="1"/>
    </row>
    <row r="946">
      <c r="H946" s="1"/>
    </row>
    <row r="947">
      <c r="H947" s="1"/>
    </row>
    <row r="948">
      <c r="H948" s="1"/>
    </row>
    <row r="949">
      <c r="H949" s="1"/>
    </row>
    <row r="950">
      <c r="H950" s="1"/>
    </row>
    <row r="951">
      <c r="H951" s="1"/>
    </row>
    <row r="952">
      <c r="H952" s="1"/>
    </row>
    <row r="953">
      <c r="H953" s="1"/>
    </row>
    <row r="954">
      <c r="H954" s="1"/>
    </row>
    <row r="955">
      <c r="H955" s="1"/>
    </row>
    <row r="956">
      <c r="H956" s="1"/>
    </row>
    <row r="957">
      <c r="H957" s="1"/>
    </row>
    <row r="958">
      <c r="H958" s="1"/>
    </row>
    <row r="959">
      <c r="H959" s="1"/>
    </row>
    <row r="960">
      <c r="H960" s="1"/>
    </row>
    <row r="961">
      <c r="H961" s="1"/>
    </row>
    <row r="962">
      <c r="H962" s="1"/>
    </row>
    <row r="963">
      <c r="H963" s="1"/>
    </row>
    <row r="964">
      <c r="H964" s="1"/>
    </row>
    <row r="965">
      <c r="H965" s="1"/>
    </row>
    <row r="966">
      <c r="H966" s="1"/>
    </row>
    <row r="967">
      <c r="H967" s="1"/>
    </row>
    <row r="968">
      <c r="H968" s="1"/>
    </row>
    <row r="969">
      <c r="H969" s="1"/>
    </row>
    <row r="970">
      <c r="H970" s="1"/>
    </row>
    <row r="971">
      <c r="H971" s="1"/>
    </row>
    <row r="972">
      <c r="H972" s="1"/>
    </row>
    <row r="973">
      <c r="H973" s="1"/>
    </row>
    <row r="974">
      <c r="H974" s="1"/>
    </row>
    <row r="975">
      <c r="H975" s="1"/>
    </row>
    <row r="976">
      <c r="H976" s="1"/>
    </row>
    <row r="977">
      <c r="H977" s="1"/>
    </row>
    <row r="978">
      <c r="H978" s="1"/>
    </row>
    <row r="979">
      <c r="H979" s="1"/>
    </row>
    <row r="980">
      <c r="H980" s="1"/>
    </row>
    <row r="981">
      <c r="H981" s="1"/>
    </row>
    <row r="982">
      <c r="H982" s="1"/>
    </row>
    <row r="983">
      <c r="H983" s="1"/>
    </row>
    <row r="984">
      <c r="H984" s="1"/>
    </row>
    <row r="985">
      <c r="H985" s="1"/>
    </row>
    <row r="986">
      <c r="H986" s="1"/>
    </row>
    <row r="987">
      <c r="H987" s="1"/>
    </row>
    <row r="988">
      <c r="H988" s="1"/>
    </row>
    <row r="989">
      <c r="H989" s="1"/>
    </row>
    <row r="990">
      <c r="H990" s="1"/>
    </row>
    <row r="991">
      <c r="H991" s="1"/>
    </row>
    <row r="992">
      <c r="H992" s="1"/>
    </row>
    <row r="993">
      <c r="H993" s="1"/>
    </row>
    <row r="994">
      <c r="H994" s="1"/>
    </row>
    <row r="995">
      <c r="H995" s="1"/>
    </row>
    <row r="996">
      <c r="H996" s="1"/>
    </row>
    <row r="997">
      <c r="H997" s="1"/>
    </row>
    <row r="998">
      <c r="H998" s="1"/>
    </row>
    <row r="999">
      <c r="H999" s="1"/>
    </row>
    <row r="1000">
      <c r="H1000" s="1"/>
    </row>
    <row r="1001">
      <c r="H1001" s="1"/>
    </row>
  </sheetData>
  <mergeCells count="5">
    <mergeCell ref="A2:D2"/>
    <mergeCell ref="L2:N2"/>
    <mergeCell ref="A20:H20"/>
    <mergeCell ref="L20:N20"/>
    <mergeCell ref="Q20:R20"/>
  </mergeCells>
  <conditionalFormatting sqref="A22:H1001">
    <cfRule type="expression" dxfId="0" priority="1">
      <formula>and($A22&lt;&gt;"",$C22&lt;today()-30)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2.63" defaultRowHeight="15.0"/>
  <cols>
    <col customWidth="1" min="1" max="1" width="23.38"/>
    <col customWidth="1" min="2" max="2" width="25.88"/>
  </cols>
  <sheetData>
    <row r="2">
      <c r="A2" s="32" t="s">
        <v>21</v>
      </c>
      <c r="B2" s="4"/>
    </row>
    <row r="3">
      <c r="A3" s="33" t="s">
        <v>6</v>
      </c>
      <c r="B3" s="33" t="s">
        <v>22</v>
      </c>
    </row>
    <row r="4">
      <c r="A4" s="34">
        <f>VLOOKUP(A7,Orders!A2:C1000,3,false)</f>
        <v>46134</v>
      </c>
      <c r="B4" s="35" t="str">
        <f>VLOOKUP(A7,Orders!A2:D1000,4,false)&amp;" "&amp;VLOOKUP(A7,Orders!A2:E1000,5,false)</f>
        <v>Zak Mccormick</v>
      </c>
    </row>
    <row r="5">
      <c r="A5" s="36"/>
    </row>
    <row r="6">
      <c r="A6" s="37" t="s">
        <v>23</v>
      </c>
      <c r="B6" s="4"/>
    </row>
    <row r="7">
      <c r="A7" s="38">
        <v>1038.0</v>
      </c>
      <c r="B7" s="4"/>
    </row>
    <row r="10">
      <c r="A10" s="39" t="s">
        <v>24</v>
      </c>
      <c r="B10" s="39" t="s">
        <v>25</v>
      </c>
    </row>
    <row r="11">
      <c r="A11" s="40" t="str">
        <f>IFERROR(__xludf.DUMMYFUNCTION("FILTER(Orders!F2:F1000, Orders!A2:A1000=A7)"),"Small Desk")</f>
        <v>Small Desk</v>
      </c>
      <c r="B11" s="41">
        <f>IFERROR(__xludf.DUMMYFUNCTION("FILTER(Orders!H2:H1000,Orders!A2:A1000=A7)"),400.0)</f>
        <v>400</v>
      </c>
    </row>
    <row r="12">
      <c r="A12" s="8"/>
      <c r="B12" s="8"/>
    </row>
    <row r="13">
      <c r="A13" s="8"/>
      <c r="B13" s="8"/>
    </row>
    <row r="14">
      <c r="A14" s="8"/>
      <c r="B14" s="8"/>
    </row>
    <row r="15">
      <c r="A15" s="8"/>
      <c r="B15" s="8"/>
    </row>
    <row r="16">
      <c r="A16" s="8"/>
      <c r="B16" s="8"/>
    </row>
    <row r="17">
      <c r="A17" s="8"/>
      <c r="B17" s="8"/>
    </row>
    <row r="18">
      <c r="A18" s="8"/>
      <c r="B18" s="8"/>
    </row>
    <row r="19">
      <c r="A19" s="8"/>
      <c r="B19" s="8"/>
    </row>
    <row r="20">
      <c r="A20" s="8"/>
      <c r="B20" s="8"/>
    </row>
    <row r="21">
      <c r="A21" s="8"/>
      <c r="B21" s="8"/>
    </row>
    <row r="22">
      <c r="A22" s="8"/>
      <c r="B22" s="8"/>
    </row>
    <row r="23">
      <c r="A23" s="8"/>
      <c r="B23" s="8"/>
    </row>
    <row r="24">
      <c r="A24" s="8"/>
      <c r="B24" s="8"/>
    </row>
    <row r="25">
      <c r="A25" s="8"/>
      <c r="B25" s="8"/>
    </row>
    <row r="26">
      <c r="A26" s="8"/>
      <c r="B26" s="8"/>
    </row>
    <row r="27">
      <c r="A27" s="8"/>
      <c r="B27" s="8"/>
    </row>
    <row r="28">
      <c r="A28" s="8"/>
      <c r="B28" s="8"/>
    </row>
    <row r="29">
      <c r="A29" s="8"/>
      <c r="B29" s="8"/>
    </row>
    <row r="30">
      <c r="A30" s="8"/>
      <c r="B30" s="8"/>
    </row>
    <row r="31">
      <c r="A31" s="8"/>
      <c r="B31" s="8"/>
    </row>
    <row r="32">
      <c r="A32" s="8"/>
      <c r="B32" s="8"/>
    </row>
    <row r="33">
      <c r="A33" s="8"/>
      <c r="B33" s="8"/>
    </row>
    <row r="34">
      <c r="A34" s="8"/>
      <c r="B34" s="8"/>
    </row>
    <row r="35">
      <c r="A35" s="8"/>
      <c r="B35" s="8"/>
    </row>
    <row r="36">
      <c r="A36" s="8"/>
      <c r="B36" s="8"/>
    </row>
    <row r="37">
      <c r="A37" s="8"/>
      <c r="B37" s="8"/>
    </row>
    <row r="38">
      <c r="A38" s="8"/>
      <c r="B38" s="8"/>
    </row>
    <row r="39">
      <c r="A39" s="8"/>
      <c r="B39" s="8"/>
    </row>
    <row r="40">
      <c r="A40" s="8"/>
      <c r="B40" s="8"/>
    </row>
    <row r="41">
      <c r="A41" s="8"/>
      <c r="B41" s="8"/>
    </row>
    <row r="43">
      <c r="A43" s="42" t="s">
        <v>26</v>
      </c>
      <c r="B43" s="42">
        <f>SUM(B11:B41)</f>
        <v>400</v>
      </c>
    </row>
  </sheetData>
  <mergeCells count="3">
    <mergeCell ref="A2:B2"/>
    <mergeCell ref="A6:B6"/>
    <mergeCell ref="A7:B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1.88"/>
    <col customWidth="1" min="5" max="5" width="13.88"/>
  </cols>
  <sheetData>
    <row r="1">
      <c r="J1" s="43"/>
      <c r="K1" s="43"/>
      <c r="L1" s="43"/>
      <c r="M1" s="44"/>
    </row>
    <row r="2">
      <c r="A2" s="45" t="s">
        <v>27</v>
      </c>
      <c r="B2" s="3"/>
      <c r="C2" s="3"/>
      <c r="D2" s="3"/>
      <c r="E2" s="3"/>
      <c r="F2" s="4"/>
      <c r="H2" s="45" t="s">
        <v>28</v>
      </c>
      <c r="I2" s="3"/>
      <c r="J2" s="3"/>
      <c r="K2" s="3"/>
      <c r="L2" s="3"/>
      <c r="M2" s="4"/>
    </row>
    <row r="3">
      <c r="J3" s="43"/>
      <c r="K3" s="43"/>
      <c r="L3" s="43"/>
      <c r="M3" s="44"/>
    </row>
    <row r="4">
      <c r="A4" s="46" t="s">
        <v>12</v>
      </c>
      <c r="B4" s="46" t="s">
        <v>29</v>
      </c>
      <c r="C4" s="46" t="s">
        <v>30</v>
      </c>
      <c r="D4" s="46" t="s">
        <v>31</v>
      </c>
      <c r="E4" s="46" t="s">
        <v>32</v>
      </c>
      <c r="F4" s="46" t="s">
        <v>33</v>
      </c>
    </row>
    <row r="5">
      <c r="A5" s="8" t="s">
        <v>39</v>
      </c>
      <c r="B5" s="8">
        <f>COUNTIF(Tasks!A$2:A1000,A5)</f>
        <v>4</v>
      </c>
      <c r="C5" s="8">
        <f>COUNTIFS(Tasks!A$2:A1000,A5,Tasks!G$2:G1000,"&lt;100")</f>
        <v>4</v>
      </c>
      <c r="D5" s="8">
        <f>SUMIFS(Tasks!E$2:E1000,Tasks!A$2:A1000,A5,Tasks!G$2:G1000,"&lt;100")</f>
        <v>52</v>
      </c>
      <c r="E5" s="8">
        <f>D5- SUMIFS(Tasks!F$2:F1000,Tasks!A$2:A1000,A5,Tasks!G$2:G1000,"&lt;100")</f>
        <v>47.5</v>
      </c>
      <c r="F5" s="50">
        <f> SUMIFS(Tasks!F$2:F1000,Tasks!A$2:A1000,A5,Tasks!G$2:G1000,"&lt;100")/D5</f>
        <v>0.08653846154</v>
      </c>
      <c r="G5" s="44"/>
    </row>
    <row r="6">
      <c r="A6" s="8" t="s">
        <v>41</v>
      </c>
      <c r="B6" s="8">
        <f>COUNTIF(Tasks!A$2:A1000,A6)</f>
        <v>7</v>
      </c>
      <c r="C6" s="8">
        <f>COUNTIFS(Tasks!A$2:A1000,A6,Tasks!G$2:G1000,"&lt;100")</f>
        <v>7</v>
      </c>
      <c r="D6" s="8">
        <f>SUMIFS(Tasks!E$2:E1000,Tasks!A$2:A1000,A6,Tasks!G$2:G1000,"&lt;100")</f>
        <v>29</v>
      </c>
      <c r="E6" s="8">
        <f>D6- SUMIFS(Tasks!F$2:F1000,Tasks!A$2:A1000,A6,Tasks!G$2:G1000,"&lt;100")</f>
        <v>27.5</v>
      </c>
      <c r="F6" s="50">
        <f> SUMIFS(Tasks!F$2:F1000,Tasks!A$2:A1000,A6,Tasks!G$2:G1000,"&lt;100")/D6</f>
        <v>0.05172413793</v>
      </c>
    </row>
    <row r="7">
      <c r="A7" s="8" t="s">
        <v>43</v>
      </c>
      <c r="B7" s="8">
        <f>COUNTIF(Tasks!A$2:A1000,A7)</f>
        <v>2</v>
      </c>
      <c r="C7" s="8">
        <f>COUNTIFS(Tasks!A$2:A1000,A7,Tasks!G$2:G1000,"&lt;100")</f>
        <v>2</v>
      </c>
      <c r="D7" s="8">
        <f>SUMIFS(Tasks!E$2:E1000,Tasks!A$2:A1000,A7,Tasks!G$2:G1000,"&lt;100")</f>
        <v>14</v>
      </c>
      <c r="E7" s="8">
        <f>D7- SUMIFS(Tasks!F$2:F1000,Tasks!A$2:A1000,A7,Tasks!G$2:G1000,"&lt;100")</f>
        <v>12.5</v>
      </c>
      <c r="F7" s="50">
        <f> SUMIFS(Tasks!F$2:F1000,Tasks!A$2:A1000,A7,Tasks!G$2:G1000,"&lt;100")/D7</f>
        <v>0.1071428571</v>
      </c>
    </row>
    <row r="8">
      <c r="A8" s="8" t="s">
        <v>45</v>
      </c>
      <c r="B8" s="8">
        <f>COUNTIF(Tasks!A$2:A1000,A8)</f>
        <v>4</v>
      </c>
      <c r="C8" s="8">
        <f>COUNTIFS(Tasks!A$2:A1000,A8,Tasks!G$2:G1000,"&lt;100")</f>
        <v>4</v>
      </c>
      <c r="D8" s="8">
        <f>SUMIFS(Tasks!E$2:E1000,Tasks!A$2:A1000,A8,Tasks!G$2:G1000,"&lt;100")</f>
        <v>6</v>
      </c>
      <c r="E8" s="8">
        <f>D8- SUMIFS(Tasks!F$2:F1000,Tasks!A$2:A1000,A8,Tasks!G$2:G1000,"&lt;100")</f>
        <v>5.5</v>
      </c>
      <c r="F8" s="50">
        <f> SUMIFS(Tasks!F$2:F1000,Tasks!A$2:A1000,A8,Tasks!G$2:G1000,"&lt;100")/D8</f>
        <v>0.08333333333</v>
      </c>
    </row>
    <row r="9">
      <c r="A9" s="8" t="s">
        <v>47</v>
      </c>
      <c r="B9" s="8">
        <f>COUNTIF(Tasks!A$2:A1000,A9)</f>
        <v>7</v>
      </c>
      <c r="C9" s="8">
        <f>COUNTIFS(Tasks!A$2:A1000,A9,Tasks!G$2:G1000,"&lt;100")</f>
        <v>7</v>
      </c>
      <c r="D9" s="8">
        <f>SUMIFS(Tasks!E$2:E1000,Tasks!A$2:A1000,A9,Tasks!G$2:G1000,"&lt;100")</f>
        <v>11</v>
      </c>
      <c r="E9" s="8">
        <f>D9- SUMIFS(Tasks!F$2:F1000,Tasks!A$2:A1000,A9,Tasks!G$2:G1000,"&lt;100")</f>
        <v>3</v>
      </c>
      <c r="F9" s="50">
        <f> SUMIFS(Tasks!F$2:F1000,Tasks!A$2:A1000,A9,Tasks!G$2:G1000,"&lt;100")/D9</f>
        <v>0.7272727273</v>
      </c>
    </row>
    <row r="10"/>
    <row r="11"/>
    <row r="12"/>
    <row r="13"/>
    <row r="14"/>
    <row r="15"/>
    <row r="16"/>
    <row r="17">
      <c r="J17" s="43"/>
      <c r="K17" s="43"/>
      <c r="L17" s="43"/>
      <c r="M17" s="44"/>
    </row>
    <row r="18">
      <c r="J18" s="43"/>
      <c r="K18" s="43"/>
      <c r="L18" s="43"/>
      <c r="M18" s="44"/>
    </row>
    <row r="19">
      <c r="H19" s="54"/>
      <c r="I19" s="4"/>
      <c r="J19" s="55" t="s">
        <v>56</v>
      </c>
      <c r="K19" s="55" t="s">
        <v>57</v>
      </c>
      <c r="L19" s="43"/>
      <c r="M19" s="44"/>
    </row>
    <row r="20">
      <c r="H20" s="56" t="s">
        <v>58</v>
      </c>
      <c r="I20" s="4"/>
      <c r="J20" s="57">
        <f>COUNTIF(Orders!$C$2:$C1000,"&gt;="&amp;today()-14)</f>
        <v>16</v>
      </c>
      <c r="K20" s="58">
        <f>SUMIFS(Orders!$H$2:$H1000,Orders!$C$2:$C1000,"&gt;="&amp;today()-14)</f>
        <v>6060</v>
      </c>
      <c r="L20" s="43"/>
      <c r="M20" s="44"/>
    </row>
    <row r="21">
      <c r="H21" s="56" t="s">
        <v>59</v>
      </c>
      <c r="I21" s="4"/>
      <c r="J21" s="57">
        <f>COUNTIF(Orders!$C$2:$C1000,"&gt;="&amp;today()-28)-J20</f>
        <v>12</v>
      </c>
      <c r="K21" s="58">
        <f>SUMIFS(Orders!$H$2:$H1000,Orders!$C$2:$C1000,"&gt;="&amp;today()-28)-K20</f>
        <v>6850</v>
      </c>
      <c r="L21" s="43"/>
      <c r="M21" s="44"/>
    </row>
    <row r="22">
      <c r="H22" s="54"/>
      <c r="I22" s="3"/>
      <c r="J22" s="3"/>
      <c r="K22" s="4"/>
      <c r="L22" s="43"/>
      <c r="M22" s="44"/>
    </row>
    <row r="23">
      <c r="H23" s="56" t="s">
        <v>60</v>
      </c>
      <c r="I23" s="4"/>
      <c r="J23" s="57">
        <f>COUNTIF(Orders!$C$2:$C1000,"&gt;="&amp;today()-30)</f>
        <v>30</v>
      </c>
      <c r="K23" s="58">
        <f>SUMIFS(Orders!$H$2:$H1000,Orders!$C$2:$C1000,"&gt;="&amp;today()-30)</f>
        <v>13310</v>
      </c>
      <c r="L23" s="43"/>
      <c r="M23" s="44"/>
    </row>
    <row r="24">
      <c r="H24" s="56" t="s">
        <v>61</v>
      </c>
      <c r="I24" s="4"/>
      <c r="J24" s="57">
        <f>COUNTIF(Orders!$C$2:$C1000,"&gt;="&amp;today()-60)-J23</f>
        <v>23</v>
      </c>
      <c r="K24" s="58">
        <f>SUMIFS(Orders!$H$2:$H1000,Orders!$C$2:$C1000,"&gt;="&amp;today()-60)-K23</f>
        <v>9230</v>
      </c>
      <c r="L24" s="43"/>
      <c r="M24" s="44"/>
    </row>
    <row r="25">
      <c r="J25" s="43"/>
      <c r="K25" s="43"/>
      <c r="L25" s="43"/>
      <c r="M25" s="44"/>
    </row>
    <row r="26">
      <c r="J26" s="43"/>
      <c r="K26" s="43"/>
      <c r="L26" s="43"/>
      <c r="M26" s="44"/>
    </row>
    <row r="27">
      <c r="J27" s="43"/>
      <c r="K27" s="43"/>
      <c r="L27" s="43"/>
      <c r="M27" s="44"/>
    </row>
    <row r="28">
      <c r="J28" s="43"/>
      <c r="K28" s="43"/>
      <c r="L28" s="43"/>
      <c r="M28" s="44"/>
    </row>
    <row r="29">
      <c r="J29" s="43"/>
      <c r="K29" s="43"/>
      <c r="L29" s="43"/>
      <c r="M29" s="44"/>
    </row>
    <row r="30">
      <c r="J30" s="43"/>
      <c r="K30" s="43"/>
      <c r="L30" s="43"/>
      <c r="M30" s="44"/>
    </row>
    <row r="31">
      <c r="J31" s="43"/>
      <c r="K31" s="43"/>
      <c r="L31" s="43"/>
      <c r="M31" s="44"/>
    </row>
    <row r="32">
      <c r="J32" s="43"/>
      <c r="K32" s="43"/>
      <c r="L32" s="43"/>
      <c r="M32" s="44"/>
    </row>
    <row r="33">
      <c r="J33" s="43"/>
      <c r="K33" s="43"/>
      <c r="L33" s="43"/>
      <c r="M33" s="44"/>
    </row>
    <row r="34">
      <c r="J34" s="43"/>
      <c r="K34" s="43"/>
      <c r="L34" s="43"/>
      <c r="M34" s="44"/>
    </row>
    <row r="35">
      <c r="J35" s="43"/>
      <c r="K35" s="43"/>
      <c r="L35" s="43"/>
      <c r="M35" s="44"/>
    </row>
    <row r="36">
      <c r="J36" s="43"/>
      <c r="K36" s="43"/>
      <c r="L36" s="43"/>
      <c r="M36" s="44"/>
    </row>
    <row r="37">
      <c r="J37" s="43"/>
      <c r="K37" s="43"/>
      <c r="L37" s="43"/>
      <c r="M37" s="44"/>
    </row>
    <row r="38">
      <c r="J38" s="43"/>
      <c r="K38" s="43"/>
      <c r="L38" s="43"/>
      <c r="M38" s="44"/>
    </row>
    <row r="39">
      <c r="J39" s="43"/>
      <c r="K39" s="43"/>
      <c r="L39" s="43"/>
      <c r="M39" s="44"/>
    </row>
    <row r="40">
      <c r="J40" s="43"/>
      <c r="K40" s="43"/>
      <c r="L40" s="43"/>
      <c r="M40" s="44"/>
    </row>
    <row r="41">
      <c r="J41" s="43"/>
      <c r="K41" s="43"/>
      <c r="L41" s="43"/>
      <c r="M41" s="44"/>
    </row>
    <row r="42">
      <c r="J42" s="43"/>
      <c r="K42" s="43"/>
      <c r="L42" s="43"/>
      <c r="M42" s="44"/>
    </row>
    <row r="43">
      <c r="J43" s="43"/>
      <c r="K43" s="43"/>
      <c r="L43" s="43"/>
      <c r="M43" s="44"/>
    </row>
    <row r="44">
      <c r="J44" s="43"/>
      <c r="K44" s="43"/>
      <c r="L44" s="43"/>
      <c r="M44" s="44"/>
    </row>
    <row r="45">
      <c r="J45" s="43"/>
      <c r="K45" s="43"/>
      <c r="L45" s="43"/>
      <c r="M45" s="44"/>
    </row>
    <row r="46">
      <c r="J46" s="43"/>
      <c r="K46" s="43"/>
      <c r="L46" s="43"/>
      <c r="M46" s="44"/>
    </row>
    <row r="47">
      <c r="J47" s="43"/>
      <c r="K47" s="43"/>
      <c r="L47" s="43"/>
      <c r="M47" s="44"/>
    </row>
    <row r="48">
      <c r="J48" s="43"/>
      <c r="K48" s="43"/>
      <c r="L48" s="43"/>
      <c r="M48" s="44"/>
    </row>
    <row r="49">
      <c r="J49" s="43"/>
      <c r="K49" s="43"/>
      <c r="L49" s="43"/>
      <c r="M49" s="44"/>
    </row>
    <row r="50">
      <c r="J50" s="43"/>
      <c r="K50" s="43"/>
      <c r="L50" s="43"/>
      <c r="M50" s="44"/>
    </row>
    <row r="51">
      <c r="J51" s="43"/>
      <c r="K51" s="43"/>
      <c r="L51" s="43"/>
      <c r="M51" s="44"/>
    </row>
    <row r="52">
      <c r="J52" s="43"/>
      <c r="K52" s="43"/>
      <c r="L52" s="43"/>
      <c r="M52" s="44"/>
    </row>
    <row r="53">
      <c r="J53" s="43"/>
      <c r="K53" s="43"/>
      <c r="L53" s="43"/>
      <c r="M53" s="44"/>
    </row>
    <row r="54">
      <c r="J54" s="43"/>
      <c r="K54" s="43"/>
      <c r="L54" s="43"/>
      <c r="M54" s="44"/>
    </row>
    <row r="55">
      <c r="J55" s="43"/>
      <c r="K55" s="43"/>
      <c r="L55" s="43"/>
      <c r="M55" s="44"/>
    </row>
    <row r="56">
      <c r="J56" s="43"/>
      <c r="K56" s="43"/>
      <c r="L56" s="43"/>
      <c r="M56" s="44"/>
    </row>
    <row r="57">
      <c r="J57" s="43"/>
      <c r="K57" s="43"/>
      <c r="L57" s="43"/>
      <c r="M57" s="44"/>
    </row>
    <row r="58">
      <c r="J58" s="43"/>
      <c r="K58" s="43"/>
      <c r="L58" s="43"/>
      <c r="M58" s="44"/>
    </row>
    <row r="59">
      <c r="J59" s="43"/>
      <c r="K59" s="43"/>
      <c r="L59" s="43"/>
      <c r="M59" s="44"/>
    </row>
    <row r="60">
      <c r="J60" s="43"/>
      <c r="K60" s="43"/>
      <c r="L60" s="43"/>
      <c r="M60" s="44"/>
    </row>
    <row r="61">
      <c r="J61" s="43"/>
      <c r="K61" s="43"/>
      <c r="L61" s="43"/>
      <c r="M61" s="44"/>
    </row>
    <row r="62">
      <c r="J62" s="43"/>
      <c r="K62" s="43"/>
      <c r="L62" s="43"/>
      <c r="M62" s="44"/>
    </row>
    <row r="63">
      <c r="J63" s="43"/>
      <c r="K63" s="43"/>
      <c r="L63" s="43"/>
      <c r="M63" s="44"/>
    </row>
    <row r="64">
      <c r="J64" s="43"/>
      <c r="K64" s="43"/>
      <c r="L64" s="43"/>
      <c r="M64" s="44"/>
    </row>
    <row r="65">
      <c r="J65" s="43"/>
      <c r="K65" s="43"/>
      <c r="L65" s="43"/>
      <c r="M65" s="44"/>
    </row>
    <row r="66">
      <c r="J66" s="43"/>
      <c r="K66" s="43"/>
      <c r="L66" s="43"/>
      <c r="M66" s="44"/>
    </row>
    <row r="67">
      <c r="J67" s="43"/>
      <c r="K67" s="43"/>
      <c r="L67" s="43"/>
      <c r="M67" s="44"/>
    </row>
    <row r="68">
      <c r="J68" s="43"/>
      <c r="K68" s="43"/>
      <c r="L68" s="43"/>
      <c r="M68" s="44"/>
    </row>
    <row r="69">
      <c r="J69" s="43"/>
      <c r="K69" s="43"/>
      <c r="L69" s="43"/>
      <c r="M69" s="44"/>
    </row>
    <row r="70">
      <c r="J70" s="43"/>
      <c r="K70" s="43"/>
      <c r="L70" s="43"/>
      <c r="M70" s="44"/>
    </row>
    <row r="71">
      <c r="J71" s="43"/>
      <c r="K71" s="43"/>
      <c r="L71" s="43"/>
      <c r="M71" s="44"/>
    </row>
    <row r="72">
      <c r="J72" s="43"/>
      <c r="K72" s="43"/>
      <c r="L72" s="43"/>
      <c r="M72" s="44"/>
    </row>
    <row r="73">
      <c r="J73" s="43"/>
      <c r="K73" s="43"/>
      <c r="L73" s="43"/>
      <c r="M73" s="44"/>
    </row>
    <row r="74">
      <c r="J74" s="43"/>
      <c r="K74" s="43"/>
      <c r="L74" s="43"/>
      <c r="M74" s="44"/>
    </row>
    <row r="75">
      <c r="J75" s="43"/>
      <c r="K75" s="43"/>
      <c r="L75" s="43"/>
      <c r="M75" s="44"/>
    </row>
    <row r="76">
      <c r="J76" s="43"/>
      <c r="K76" s="43"/>
      <c r="L76" s="43"/>
      <c r="M76" s="44"/>
    </row>
    <row r="77">
      <c r="J77" s="43"/>
      <c r="K77" s="43"/>
      <c r="L77" s="43"/>
      <c r="M77" s="44"/>
    </row>
    <row r="78">
      <c r="J78" s="43"/>
      <c r="K78" s="43"/>
      <c r="L78" s="43"/>
      <c r="M78" s="44"/>
    </row>
    <row r="79">
      <c r="J79" s="43"/>
      <c r="K79" s="43"/>
      <c r="L79" s="43"/>
      <c r="M79" s="44"/>
    </row>
    <row r="80">
      <c r="J80" s="43"/>
      <c r="K80" s="43"/>
      <c r="L80" s="43"/>
      <c r="M80" s="44"/>
    </row>
    <row r="81">
      <c r="J81" s="43"/>
      <c r="K81" s="43"/>
      <c r="L81" s="43"/>
      <c r="M81" s="44"/>
    </row>
    <row r="82">
      <c r="J82" s="43"/>
      <c r="K82" s="43"/>
      <c r="L82" s="43"/>
      <c r="M82" s="44"/>
    </row>
    <row r="83">
      <c r="J83" s="43"/>
      <c r="K83" s="43"/>
      <c r="L83" s="43"/>
      <c r="M83" s="44"/>
    </row>
    <row r="84">
      <c r="J84" s="43"/>
      <c r="K84" s="43"/>
      <c r="L84" s="43"/>
      <c r="M84" s="44"/>
    </row>
    <row r="85">
      <c r="J85" s="43"/>
      <c r="K85" s="43"/>
      <c r="L85" s="43"/>
      <c r="M85" s="44"/>
    </row>
    <row r="86">
      <c r="J86" s="43"/>
      <c r="K86" s="43"/>
      <c r="L86" s="43"/>
      <c r="M86" s="44"/>
    </row>
    <row r="87">
      <c r="J87" s="43"/>
      <c r="K87" s="43"/>
      <c r="L87" s="43"/>
      <c r="M87" s="44"/>
    </row>
    <row r="88">
      <c r="J88" s="43"/>
      <c r="K88" s="43"/>
      <c r="L88" s="43"/>
      <c r="M88" s="44"/>
    </row>
    <row r="89">
      <c r="J89" s="43"/>
      <c r="K89" s="43"/>
      <c r="L89" s="43"/>
      <c r="M89" s="44"/>
    </row>
    <row r="90">
      <c r="J90" s="43"/>
      <c r="K90" s="43"/>
      <c r="L90" s="43"/>
      <c r="M90" s="44"/>
    </row>
    <row r="91">
      <c r="J91" s="43"/>
      <c r="K91" s="43"/>
      <c r="L91" s="43"/>
      <c r="M91" s="44"/>
    </row>
    <row r="92">
      <c r="J92" s="43"/>
      <c r="K92" s="43"/>
      <c r="L92" s="43"/>
      <c r="M92" s="44"/>
    </row>
    <row r="93">
      <c r="J93" s="43"/>
      <c r="K93" s="43"/>
      <c r="L93" s="43"/>
      <c r="M93" s="44"/>
    </row>
    <row r="94">
      <c r="J94" s="43"/>
      <c r="K94" s="43"/>
      <c r="L94" s="43"/>
      <c r="M94" s="44"/>
    </row>
    <row r="95">
      <c r="J95" s="43"/>
      <c r="K95" s="43"/>
      <c r="L95" s="43"/>
      <c r="M95" s="44"/>
    </row>
    <row r="96">
      <c r="J96" s="43"/>
      <c r="K96" s="43"/>
      <c r="L96" s="43"/>
      <c r="M96" s="44"/>
    </row>
    <row r="97">
      <c r="J97" s="43"/>
      <c r="K97" s="43"/>
      <c r="L97" s="43"/>
      <c r="M97" s="44"/>
    </row>
    <row r="98">
      <c r="J98" s="43"/>
      <c r="K98" s="43"/>
      <c r="L98" s="43"/>
      <c r="M98" s="44"/>
    </row>
    <row r="99">
      <c r="J99" s="43"/>
      <c r="K99" s="43"/>
      <c r="L99" s="43"/>
      <c r="M99" s="44"/>
    </row>
    <row r="100">
      <c r="J100" s="43"/>
      <c r="K100" s="43"/>
      <c r="L100" s="43"/>
      <c r="M100" s="44"/>
    </row>
    <row r="101">
      <c r="J101" s="43"/>
      <c r="K101" s="43"/>
      <c r="L101" s="43"/>
      <c r="M101" s="44"/>
    </row>
    <row r="102">
      <c r="J102" s="43"/>
      <c r="K102" s="43"/>
      <c r="L102" s="43"/>
      <c r="M102" s="44"/>
    </row>
    <row r="103">
      <c r="J103" s="43"/>
      <c r="K103" s="43"/>
      <c r="L103" s="43"/>
      <c r="M103" s="44"/>
    </row>
    <row r="104">
      <c r="J104" s="43"/>
      <c r="K104" s="43"/>
      <c r="L104" s="43"/>
      <c r="M104" s="44"/>
    </row>
    <row r="105">
      <c r="J105" s="43"/>
      <c r="K105" s="43"/>
      <c r="L105" s="43"/>
      <c r="M105" s="44"/>
    </row>
    <row r="106">
      <c r="J106" s="43"/>
      <c r="K106" s="43"/>
      <c r="L106" s="43"/>
      <c r="M106" s="44"/>
    </row>
    <row r="107">
      <c r="J107" s="43"/>
      <c r="K107" s="43"/>
      <c r="L107" s="43"/>
      <c r="M107" s="44"/>
    </row>
    <row r="108">
      <c r="J108" s="43"/>
      <c r="K108" s="43"/>
      <c r="L108" s="43"/>
      <c r="M108" s="44"/>
    </row>
    <row r="109">
      <c r="J109" s="43"/>
      <c r="K109" s="43"/>
      <c r="L109" s="43"/>
      <c r="M109" s="44"/>
    </row>
    <row r="110">
      <c r="J110" s="43"/>
      <c r="K110" s="43"/>
      <c r="L110" s="43"/>
      <c r="M110" s="44"/>
    </row>
    <row r="111">
      <c r="J111" s="43"/>
      <c r="K111" s="43"/>
      <c r="L111" s="43"/>
      <c r="M111" s="44"/>
    </row>
    <row r="112">
      <c r="J112" s="43"/>
      <c r="K112" s="43"/>
      <c r="L112" s="43"/>
      <c r="M112" s="44"/>
    </row>
    <row r="113">
      <c r="J113" s="43"/>
      <c r="K113" s="43"/>
      <c r="L113" s="43"/>
      <c r="M113" s="44"/>
    </row>
    <row r="114">
      <c r="J114" s="43"/>
      <c r="K114" s="43"/>
      <c r="L114" s="43"/>
      <c r="M114" s="44"/>
    </row>
    <row r="115">
      <c r="J115" s="43"/>
      <c r="K115" s="43"/>
      <c r="L115" s="43"/>
      <c r="M115" s="44"/>
    </row>
    <row r="116">
      <c r="J116" s="43"/>
      <c r="K116" s="43"/>
      <c r="L116" s="43"/>
      <c r="M116" s="44"/>
    </row>
    <row r="117">
      <c r="J117" s="43"/>
      <c r="K117" s="43"/>
      <c r="L117" s="43"/>
      <c r="M117" s="44"/>
    </row>
    <row r="118">
      <c r="J118" s="43"/>
      <c r="K118" s="43"/>
      <c r="L118" s="43"/>
      <c r="M118" s="44"/>
    </row>
    <row r="119">
      <c r="J119" s="43"/>
      <c r="K119" s="43"/>
      <c r="L119" s="43"/>
      <c r="M119" s="44"/>
    </row>
    <row r="120">
      <c r="J120" s="43"/>
      <c r="K120" s="43"/>
      <c r="L120" s="43"/>
      <c r="M120" s="44"/>
    </row>
    <row r="121">
      <c r="J121" s="43"/>
      <c r="K121" s="43"/>
      <c r="L121" s="43"/>
      <c r="M121" s="44"/>
    </row>
    <row r="122">
      <c r="J122" s="43"/>
      <c r="K122" s="43"/>
      <c r="L122" s="43"/>
      <c r="M122" s="44"/>
    </row>
    <row r="123">
      <c r="J123" s="43"/>
      <c r="K123" s="43"/>
      <c r="L123" s="43"/>
      <c r="M123" s="44"/>
    </row>
    <row r="124">
      <c r="J124" s="43"/>
      <c r="K124" s="43"/>
      <c r="L124" s="43"/>
      <c r="M124" s="44"/>
    </row>
    <row r="125">
      <c r="J125" s="43"/>
      <c r="K125" s="43"/>
      <c r="L125" s="43"/>
      <c r="M125" s="44"/>
    </row>
    <row r="126">
      <c r="J126" s="43"/>
      <c r="K126" s="43"/>
      <c r="L126" s="43"/>
      <c r="M126" s="44"/>
    </row>
    <row r="127">
      <c r="J127" s="43"/>
      <c r="K127" s="43"/>
      <c r="L127" s="43"/>
      <c r="M127" s="44"/>
    </row>
    <row r="128">
      <c r="J128" s="43"/>
      <c r="K128" s="43"/>
      <c r="L128" s="43"/>
      <c r="M128" s="44"/>
    </row>
    <row r="129">
      <c r="J129" s="43"/>
      <c r="K129" s="43"/>
      <c r="L129" s="43"/>
      <c r="M129" s="44"/>
    </row>
    <row r="130">
      <c r="J130" s="43"/>
      <c r="K130" s="43"/>
      <c r="L130" s="43"/>
      <c r="M130" s="44"/>
    </row>
    <row r="131">
      <c r="J131" s="43"/>
      <c r="K131" s="43"/>
      <c r="L131" s="43"/>
      <c r="M131" s="44"/>
    </row>
    <row r="132">
      <c r="J132" s="43"/>
      <c r="K132" s="43"/>
      <c r="L132" s="43"/>
      <c r="M132" s="44"/>
    </row>
    <row r="133">
      <c r="J133" s="43"/>
      <c r="K133" s="43"/>
      <c r="L133" s="43"/>
      <c r="M133" s="44"/>
    </row>
    <row r="134">
      <c r="J134" s="43"/>
      <c r="K134" s="43"/>
      <c r="L134" s="43"/>
      <c r="M134" s="44"/>
    </row>
    <row r="135">
      <c r="J135" s="43"/>
      <c r="K135" s="43"/>
      <c r="L135" s="43"/>
      <c r="M135" s="44"/>
    </row>
    <row r="136">
      <c r="J136" s="43"/>
      <c r="K136" s="43"/>
      <c r="L136" s="43"/>
      <c r="M136" s="44"/>
    </row>
    <row r="137">
      <c r="J137" s="43"/>
      <c r="K137" s="43"/>
      <c r="L137" s="43"/>
      <c r="M137" s="44"/>
    </row>
    <row r="138">
      <c r="J138" s="43"/>
      <c r="K138" s="43"/>
      <c r="L138" s="43"/>
      <c r="M138" s="44"/>
    </row>
    <row r="139">
      <c r="J139" s="43"/>
      <c r="K139" s="43"/>
      <c r="L139" s="43"/>
      <c r="M139" s="44"/>
    </row>
    <row r="140">
      <c r="J140" s="43"/>
      <c r="K140" s="43"/>
      <c r="L140" s="43"/>
      <c r="M140" s="44"/>
    </row>
    <row r="141">
      <c r="J141" s="43"/>
      <c r="K141" s="43"/>
      <c r="L141" s="43"/>
      <c r="M141" s="44"/>
    </row>
    <row r="142">
      <c r="J142" s="43"/>
      <c r="K142" s="43"/>
      <c r="L142" s="43"/>
      <c r="M142" s="44"/>
    </row>
    <row r="143">
      <c r="J143" s="43"/>
      <c r="K143" s="43"/>
      <c r="L143" s="43"/>
      <c r="M143" s="44"/>
    </row>
    <row r="144">
      <c r="J144" s="43"/>
      <c r="K144" s="43"/>
      <c r="L144" s="43"/>
      <c r="M144" s="44"/>
    </row>
    <row r="145">
      <c r="J145" s="43"/>
      <c r="K145" s="43"/>
      <c r="L145" s="43"/>
      <c r="M145" s="44"/>
    </row>
    <row r="146">
      <c r="J146" s="43"/>
      <c r="K146" s="43"/>
      <c r="L146" s="43"/>
      <c r="M146" s="44"/>
    </row>
    <row r="147">
      <c r="J147" s="43"/>
      <c r="K147" s="43"/>
      <c r="L147" s="43"/>
      <c r="M147" s="44"/>
    </row>
    <row r="148">
      <c r="J148" s="43"/>
      <c r="K148" s="43"/>
      <c r="L148" s="43"/>
      <c r="M148" s="44"/>
    </row>
    <row r="149">
      <c r="J149" s="43"/>
      <c r="K149" s="43"/>
      <c r="L149" s="43"/>
      <c r="M149" s="44"/>
    </row>
    <row r="150">
      <c r="J150" s="43"/>
      <c r="K150" s="43"/>
      <c r="L150" s="43"/>
      <c r="M150" s="44"/>
    </row>
    <row r="151">
      <c r="J151" s="43"/>
      <c r="K151" s="43"/>
      <c r="L151" s="43"/>
      <c r="M151" s="44"/>
    </row>
    <row r="152">
      <c r="J152" s="43"/>
      <c r="K152" s="43"/>
      <c r="L152" s="43"/>
      <c r="M152" s="44"/>
    </row>
    <row r="153">
      <c r="J153" s="43"/>
      <c r="K153" s="43"/>
      <c r="L153" s="43"/>
      <c r="M153" s="44"/>
    </row>
    <row r="154">
      <c r="J154" s="43"/>
      <c r="K154" s="43"/>
      <c r="L154" s="43"/>
      <c r="M154" s="44"/>
    </row>
    <row r="155">
      <c r="J155" s="43"/>
      <c r="K155" s="43"/>
      <c r="L155" s="43"/>
      <c r="M155" s="44"/>
    </row>
    <row r="156">
      <c r="J156" s="43"/>
      <c r="K156" s="43"/>
      <c r="L156" s="43"/>
      <c r="M156" s="44"/>
    </row>
    <row r="157">
      <c r="J157" s="43"/>
      <c r="K157" s="43"/>
      <c r="L157" s="43"/>
      <c r="M157" s="44"/>
    </row>
    <row r="158">
      <c r="J158" s="43"/>
      <c r="K158" s="43"/>
      <c r="L158" s="43"/>
      <c r="M158" s="44"/>
    </row>
    <row r="159">
      <c r="J159" s="43"/>
      <c r="K159" s="43"/>
      <c r="L159" s="43"/>
      <c r="M159" s="44"/>
    </row>
    <row r="160">
      <c r="J160" s="43"/>
      <c r="K160" s="43"/>
      <c r="L160" s="43"/>
      <c r="M160" s="44"/>
    </row>
    <row r="161">
      <c r="J161" s="43"/>
      <c r="K161" s="43"/>
      <c r="L161" s="43"/>
      <c r="M161" s="44"/>
    </row>
    <row r="162">
      <c r="J162" s="43"/>
      <c r="K162" s="43"/>
      <c r="L162" s="43"/>
      <c r="M162" s="44"/>
    </row>
    <row r="163">
      <c r="J163" s="43"/>
      <c r="K163" s="43"/>
      <c r="L163" s="43"/>
      <c r="M163" s="44"/>
    </row>
    <row r="164">
      <c r="J164" s="43"/>
      <c r="K164" s="43"/>
      <c r="L164" s="43"/>
      <c r="M164" s="44"/>
    </row>
    <row r="165">
      <c r="J165" s="43"/>
      <c r="K165" s="43"/>
      <c r="L165" s="43"/>
      <c r="M165" s="44"/>
    </row>
    <row r="166">
      <c r="J166" s="43"/>
      <c r="K166" s="43"/>
      <c r="L166" s="43"/>
      <c r="M166" s="44"/>
    </row>
    <row r="167">
      <c r="J167" s="43"/>
      <c r="K167" s="43"/>
      <c r="L167" s="43"/>
      <c r="M167" s="44"/>
    </row>
    <row r="168">
      <c r="J168" s="43"/>
      <c r="K168" s="43"/>
      <c r="L168" s="43"/>
      <c r="M168" s="44"/>
    </row>
    <row r="169">
      <c r="J169" s="43"/>
      <c r="K169" s="43"/>
      <c r="L169" s="43"/>
      <c r="M169" s="44"/>
    </row>
    <row r="170">
      <c r="J170" s="43"/>
      <c r="K170" s="43"/>
      <c r="L170" s="43"/>
      <c r="M170" s="44"/>
    </row>
    <row r="171">
      <c r="J171" s="43"/>
      <c r="K171" s="43"/>
      <c r="L171" s="43"/>
      <c r="M171" s="44"/>
    </row>
    <row r="172">
      <c r="J172" s="43"/>
      <c r="K172" s="43"/>
      <c r="L172" s="43"/>
      <c r="M172" s="44"/>
    </row>
    <row r="173">
      <c r="J173" s="43"/>
      <c r="K173" s="43"/>
      <c r="L173" s="43"/>
      <c r="M173" s="44"/>
    </row>
    <row r="174">
      <c r="J174" s="43"/>
      <c r="K174" s="43"/>
      <c r="L174" s="43"/>
      <c r="M174" s="44"/>
    </row>
    <row r="175">
      <c r="J175" s="43"/>
      <c r="K175" s="43"/>
      <c r="L175" s="43"/>
      <c r="M175" s="44"/>
    </row>
    <row r="176">
      <c r="J176" s="43"/>
      <c r="K176" s="43"/>
      <c r="L176" s="43"/>
      <c r="M176" s="44"/>
    </row>
    <row r="177">
      <c r="J177" s="43"/>
      <c r="K177" s="43"/>
      <c r="L177" s="43"/>
      <c r="M177" s="44"/>
    </row>
    <row r="178">
      <c r="J178" s="43"/>
      <c r="K178" s="43"/>
      <c r="L178" s="43"/>
      <c r="M178" s="44"/>
    </row>
    <row r="179">
      <c r="J179" s="43"/>
      <c r="K179" s="43"/>
      <c r="L179" s="43"/>
      <c r="M179" s="44"/>
    </row>
    <row r="180">
      <c r="J180" s="43"/>
      <c r="K180" s="43"/>
      <c r="L180" s="43"/>
      <c r="M180" s="44"/>
    </row>
    <row r="181">
      <c r="J181" s="43"/>
      <c r="K181" s="43"/>
      <c r="L181" s="43"/>
      <c r="M181" s="44"/>
    </row>
    <row r="182">
      <c r="J182" s="43"/>
      <c r="K182" s="43"/>
      <c r="L182" s="43"/>
      <c r="M182" s="44"/>
    </row>
    <row r="183">
      <c r="J183" s="43"/>
      <c r="K183" s="43"/>
      <c r="L183" s="43"/>
      <c r="M183" s="44"/>
    </row>
    <row r="184">
      <c r="J184" s="43"/>
      <c r="K184" s="43"/>
      <c r="L184" s="43"/>
      <c r="M184" s="44"/>
    </row>
    <row r="185">
      <c r="J185" s="43"/>
      <c r="K185" s="43"/>
      <c r="L185" s="43"/>
      <c r="M185" s="44"/>
    </row>
    <row r="186">
      <c r="J186" s="43"/>
      <c r="K186" s="43"/>
      <c r="L186" s="43"/>
      <c r="M186" s="44"/>
    </row>
    <row r="187">
      <c r="J187" s="43"/>
      <c r="K187" s="43"/>
      <c r="L187" s="43"/>
      <c r="M187" s="44"/>
    </row>
    <row r="188">
      <c r="J188" s="43"/>
      <c r="K188" s="43"/>
      <c r="L188" s="43"/>
      <c r="M188" s="44"/>
    </row>
    <row r="189">
      <c r="J189" s="43"/>
      <c r="K189" s="43"/>
      <c r="L189" s="43"/>
      <c r="M189" s="44"/>
    </row>
    <row r="190">
      <c r="J190" s="43"/>
      <c r="K190" s="43"/>
      <c r="L190" s="43"/>
      <c r="M190" s="44"/>
    </row>
    <row r="191">
      <c r="J191" s="43"/>
      <c r="K191" s="43"/>
      <c r="L191" s="43"/>
      <c r="M191" s="44"/>
    </row>
    <row r="192">
      <c r="J192" s="43"/>
      <c r="K192" s="43"/>
      <c r="L192" s="43"/>
      <c r="M192" s="44"/>
    </row>
    <row r="193">
      <c r="J193" s="43"/>
      <c r="K193" s="43"/>
      <c r="L193" s="43"/>
      <c r="M193" s="44"/>
    </row>
    <row r="194">
      <c r="J194" s="43"/>
      <c r="K194" s="43"/>
      <c r="L194" s="43"/>
      <c r="M194" s="44"/>
    </row>
    <row r="195">
      <c r="J195" s="43"/>
      <c r="K195" s="43"/>
      <c r="L195" s="43"/>
      <c r="M195" s="44"/>
    </row>
    <row r="196">
      <c r="J196" s="43"/>
      <c r="K196" s="43"/>
      <c r="L196" s="43"/>
      <c r="M196" s="44"/>
    </row>
    <row r="197">
      <c r="J197" s="43"/>
      <c r="K197" s="43"/>
      <c r="L197" s="43"/>
      <c r="M197" s="44"/>
    </row>
    <row r="198">
      <c r="J198" s="43"/>
      <c r="K198" s="43"/>
      <c r="L198" s="43"/>
      <c r="M198" s="44"/>
    </row>
    <row r="199">
      <c r="J199" s="43"/>
      <c r="K199" s="43"/>
      <c r="L199" s="43"/>
      <c r="M199" s="44"/>
    </row>
    <row r="200">
      <c r="J200" s="43"/>
      <c r="K200" s="43"/>
      <c r="L200" s="43"/>
      <c r="M200" s="44"/>
    </row>
    <row r="201">
      <c r="J201" s="43"/>
      <c r="K201" s="43"/>
      <c r="L201" s="43"/>
      <c r="M201" s="44"/>
    </row>
    <row r="202">
      <c r="J202" s="43"/>
      <c r="K202" s="43"/>
      <c r="L202" s="43"/>
      <c r="M202" s="44"/>
    </row>
    <row r="203">
      <c r="J203" s="43"/>
      <c r="K203" s="43"/>
      <c r="L203" s="43"/>
      <c r="M203" s="44"/>
    </row>
    <row r="204">
      <c r="J204" s="43"/>
      <c r="K204" s="43"/>
      <c r="L204" s="43"/>
      <c r="M204" s="44"/>
    </row>
    <row r="205">
      <c r="J205" s="43"/>
      <c r="K205" s="43"/>
      <c r="L205" s="43"/>
      <c r="M205" s="44"/>
    </row>
    <row r="206">
      <c r="J206" s="43"/>
      <c r="K206" s="43"/>
      <c r="L206" s="43"/>
      <c r="M206" s="44"/>
    </row>
    <row r="207">
      <c r="J207" s="43"/>
      <c r="K207" s="43"/>
      <c r="L207" s="43"/>
      <c r="M207" s="44"/>
    </row>
    <row r="208">
      <c r="J208" s="43"/>
      <c r="K208" s="43"/>
      <c r="L208" s="43"/>
      <c r="M208" s="44"/>
    </row>
    <row r="209">
      <c r="J209" s="43"/>
      <c r="K209" s="43"/>
      <c r="L209" s="43"/>
      <c r="M209" s="44"/>
    </row>
    <row r="210">
      <c r="J210" s="43"/>
      <c r="K210" s="43"/>
      <c r="L210" s="43"/>
      <c r="M210" s="44"/>
    </row>
    <row r="211">
      <c r="J211" s="43"/>
      <c r="K211" s="43"/>
      <c r="L211" s="43"/>
      <c r="M211" s="44"/>
    </row>
    <row r="212">
      <c r="J212" s="43"/>
      <c r="K212" s="43"/>
      <c r="L212" s="43"/>
      <c r="M212" s="44"/>
    </row>
    <row r="213">
      <c r="J213" s="43"/>
      <c r="K213" s="43"/>
      <c r="L213" s="43"/>
      <c r="M213" s="44"/>
    </row>
    <row r="214">
      <c r="J214" s="43"/>
      <c r="K214" s="43"/>
      <c r="L214" s="43"/>
      <c r="M214" s="44"/>
    </row>
    <row r="215">
      <c r="J215" s="43"/>
      <c r="K215" s="43"/>
      <c r="L215" s="43"/>
      <c r="M215" s="44"/>
    </row>
    <row r="216">
      <c r="J216" s="43"/>
      <c r="K216" s="43"/>
      <c r="L216" s="43"/>
      <c r="M216" s="44"/>
    </row>
    <row r="217">
      <c r="J217" s="43"/>
      <c r="K217" s="43"/>
      <c r="L217" s="43"/>
      <c r="M217" s="44"/>
    </row>
    <row r="218">
      <c r="J218" s="43"/>
      <c r="K218" s="43"/>
      <c r="L218" s="43"/>
      <c r="M218" s="44"/>
    </row>
    <row r="219">
      <c r="J219" s="43"/>
      <c r="K219" s="43"/>
      <c r="L219" s="43"/>
      <c r="M219" s="44"/>
    </row>
    <row r="220">
      <c r="J220" s="43"/>
      <c r="K220" s="43"/>
      <c r="L220" s="43"/>
      <c r="M220" s="44"/>
    </row>
    <row r="221">
      <c r="J221" s="43"/>
      <c r="K221" s="43"/>
      <c r="L221" s="43"/>
      <c r="M221" s="44"/>
    </row>
    <row r="222">
      <c r="J222" s="43"/>
      <c r="K222" s="43"/>
      <c r="L222" s="43"/>
      <c r="M222" s="44"/>
    </row>
    <row r="223">
      <c r="J223" s="43"/>
      <c r="K223" s="43"/>
      <c r="L223" s="43"/>
      <c r="M223" s="44"/>
    </row>
    <row r="224">
      <c r="J224" s="43"/>
      <c r="K224" s="43"/>
      <c r="L224" s="43"/>
      <c r="M224" s="44"/>
    </row>
    <row r="225">
      <c r="J225" s="43"/>
      <c r="K225" s="43"/>
      <c r="L225" s="43"/>
      <c r="M225" s="44"/>
    </row>
    <row r="226">
      <c r="J226" s="43"/>
      <c r="K226" s="43"/>
      <c r="L226" s="43"/>
      <c r="M226" s="44"/>
    </row>
    <row r="227">
      <c r="J227" s="43"/>
      <c r="K227" s="43"/>
      <c r="L227" s="43"/>
      <c r="M227" s="44"/>
    </row>
    <row r="228">
      <c r="J228" s="43"/>
      <c r="K228" s="43"/>
      <c r="L228" s="43"/>
      <c r="M228" s="44"/>
    </row>
    <row r="229">
      <c r="J229" s="43"/>
      <c r="K229" s="43"/>
      <c r="L229" s="43"/>
      <c r="M229" s="44"/>
    </row>
    <row r="230">
      <c r="J230" s="43"/>
      <c r="K230" s="43"/>
      <c r="L230" s="43"/>
      <c r="M230" s="44"/>
    </row>
    <row r="231">
      <c r="J231" s="43"/>
      <c r="K231" s="43"/>
      <c r="L231" s="43"/>
      <c r="M231" s="44"/>
    </row>
    <row r="232">
      <c r="J232" s="43"/>
      <c r="K232" s="43"/>
      <c r="L232" s="43"/>
      <c r="M232" s="44"/>
    </row>
    <row r="233">
      <c r="J233" s="43"/>
      <c r="K233" s="43"/>
      <c r="L233" s="43"/>
      <c r="M233" s="44"/>
    </row>
    <row r="234">
      <c r="J234" s="43"/>
      <c r="K234" s="43"/>
      <c r="L234" s="43"/>
      <c r="M234" s="44"/>
    </row>
    <row r="235">
      <c r="J235" s="43"/>
      <c r="K235" s="43"/>
      <c r="L235" s="43"/>
      <c r="M235" s="44"/>
    </row>
    <row r="236">
      <c r="J236" s="43"/>
      <c r="K236" s="43"/>
      <c r="L236" s="43"/>
      <c r="M236" s="44"/>
    </row>
    <row r="237">
      <c r="J237" s="43"/>
      <c r="K237" s="43"/>
      <c r="L237" s="43"/>
      <c r="M237" s="44"/>
    </row>
    <row r="238">
      <c r="J238" s="43"/>
      <c r="K238" s="43"/>
      <c r="L238" s="43"/>
      <c r="M238" s="44"/>
    </row>
    <row r="239">
      <c r="J239" s="43"/>
      <c r="K239" s="43"/>
      <c r="L239" s="43"/>
      <c r="M239" s="44"/>
    </row>
    <row r="240">
      <c r="J240" s="43"/>
      <c r="K240" s="43"/>
      <c r="L240" s="43"/>
      <c r="M240" s="44"/>
    </row>
    <row r="241">
      <c r="J241" s="43"/>
      <c r="K241" s="43"/>
      <c r="L241" s="43"/>
      <c r="M241" s="44"/>
    </row>
    <row r="242">
      <c r="J242" s="43"/>
      <c r="K242" s="43"/>
      <c r="L242" s="43"/>
      <c r="M242" s="44"/>
    </row>
    <row r="243">
      <c r="J243" s="43"/>
      <c r="K243" s="43"/>
      <c r="L243" s="43"/>
      <c r="M243" s="44"/>
    </row>
    <row r="244">
      <c r="J244" s="43"/>
      <c r="K244" s="43"/>
      <c r="L244" s="43"/>
      <c r="M244" s="44"/>
    </row>
    <row r="245">
      <c r="J245" s="43"/>
      <c r="K245" s="43"/>
      <c r="L245" s="43"/>
      <c r="M245" s="44"/>
    </row>
    <row r="246">
      <c r="J246" s="43"/>
      <c r="K246" s="43"/>
      <c r="L246" s="43"/>
      <c r="M246" s="44"/>
    </row>
    <row r="247">
      <c r="J247" s="43"/>
      <c r="K247" s="43"/>
      <c r="L247" s="43"/>
      <c r="M247" s="44"/>
    </row>
    <row r="248">
      <c r="J248" s="43"/>
      <c r="K248" s="43"/>
      <c r="L248" s="43"/>
      <c r="M248" s="44"/>
    </row>
    <row r="249">
      <c r="J249" s="43"/>
      <c r="K249" s="43"/>
      <c r="L249" s="43"/>
      <c r="M249" s="44"/>
    </row>
    <row r="250">
      <c r="J250" s="43"/>
      <c r="K250" s="43"/>
      <c r="L250" s="43"/>
      <c r="M250" s="44"/>
    </row>
    <row r="251">
      <c r="J251" s="43"/>
      <c r="K251" s="43"/>
      <c r="L251" s="43"/>
      <c r="M251" s="44"/>
    </row>
    <row r="252">
      <c r="J252" s="43"/>
      <c r="K252" s="43"/>
      <c r="L252" s="43"/>
      <c r="M252" s="44"/>
    </row>
    <row r="253">
      <c r="J253" s="43"/>
      <c r="K253" s="43"/>
      <c r="L253" s="43"/>
      <c r="M253" s="44"/>
    </row>
    <row r="254">
      <c r="J254" s="43"/>
      <c r="K254" s="43"/>
      <c r="L254" s="43"/>
      <c r="M254" s="44"/>
    </row>
    <row r="255">
      <c r="J255" s="43"/>
      <c r="K255" s="43"/>
      <c r="L255" s="43"/>
      <c r="M255" s="44"/>
    </row>
    <row r="256">
      <c r="J256" s="43"/>
      <c r="K256" s="43"/>
      <c r="L256" s="43"/>
      <c r="M256" s="44"/>
    </row>
    <row r="257">
      <c r="J257" s="43"/>
      <c r="K257" s="43"/>
      <c r="L257" s="43"/>
      <c r="M257" s="44"/>
    </row>
    <row r="258">
      <c r="J258" s="43"/>
      <c r="K258" s="43"/>
      <c r="L258" s="43"/>
      <c r="M258" s="44"/>
    </row>
    <row r="259">
      <c r="J259" s="43"/>
      <c r="K259" s="43"/>
      <c r="L259" s="43"/>
      <c r="M259" s="44"/>
    </row>
    <row r="260">
      <c r="J260" s="43"/>
      <c r="K260" s="43"/>
      <c r="L260" s="43"/>
      <c r="M260" s="44"/>
    </row>
    <row r="261">
      <c r="J261" s="43"/>
      <c r="K261" s="43"/>
      <c r="L261" s="43"/>
      <c r="M261" s="44"/>
    </row>
    <row r="262">
      <c r="J262" s="43"/>
      <c r="K262" s="43"/>
      <c r="L262" s="43"/>
      <c r="M262" s="44"/>
    </row>
    <row r="263">
      <c r="J263" s="43"/>
      <c r="K263" s="43"/>
      <c r="L263" s="43"/>
      <c r="M263" s="44"/>
    </row>
    <row r="264">
      <c r="J264" s="43"/>
      <c r="K264" s="43"/>
      <c r="L264" s="43"/>
      <c r="M264" s="44"/>
    </row>
    <row r="265">
      <c r="J265" s="43"/>
      <c r="K265" s="43"/>
      <c r="L265" s="43"/>
      <c r="M265" s="44"/>
    </row>
    <row r="266">
      <c r="J266" s="43"/>
      <c r="K266" s="43"/>
      <c r="L266" s="43"/>
      <c r="M266" s="44"/>
    </row>
    <row r="267">
      <c r="J267" s="43"/>
      <c r="K267" s="43"/>
      <c r="L267" s="43"/>
      <c r="M267" s="44"/>
    </row>
    <row r="268">
      <c r="J268" s="43"/>
      <c r="K268" s="43"/>
      <c r="L268" s="43"/>
      <c r="M268" s="44"/>
    </row>
    <row r="269">
      <c r="J269" s="43"/>
      <c r="K269" s="43"/>
      <c r="L269" s="43"/>
      <c r="M269" s="44"/>
    </row>
    <row r="270">
      <c r="J270" s="43"/>
      <c r="K270" s="43"/>
      <c r="L270" s="43"/>
      <c r="M270" s="44"/>
    </row>
    <row r="271">
      <c r="J271" s="43"/>
      <c r="K271" s="43"/>
      <c r="L271" s="43"/>
      <c r="M271" s="44"/>
    </row>
    <row r="272">
      <c r="J272" s="43"/>
      <c r="K272" s="43"/>
      <c r="L272" s="43"/>
      <c r="M272" s="44"/>
    </row>
    <row r="273">
      <c r="J273" s="43"/>
      <c r="K273" s="43"/>
      <c r="L273" s="43"/>
      <c r="M273" s="44"/>
    </row>
    <row r="274">
      <c r="J274" s="43"/>
      <c r="K274" s="43"/>
      <c r="L274" s="43"/>
      <c r="M274" s="44"/>
    </row>
    <row r="275">
      <c r="J275" s="43"/>
      <c r="K275" s="43"/>
      <c r="L275" s="43"/>
      <c r="M275" s="44"/>
    </row>
    <row r="276">
      <c r="J276" s="43"/>
      <c r="K276" s="43"/>
      <c r="L276" s="43"/>
      <c r="M276" s="44"/>
    </row>
    <row r="277">
      <c r="J277" s="43"/>
      <c r="K277" s="43"/>
      <c r="L277" s="43"/>
      <c r="M277" s="44"/>
    </row>
    <row r="278">
      <c r="J278" s="43"/>
      <c r="K278" s="43"/>
      <c r="L278" s="43"/>
      <c r="M278" s="44"/>
    </row>
    <row r="279">
      <c r="J279" s="43"/>
      <c r="K279" s="43"/>
      <c r="L279" s="43"/>
      <c r="M279" s="44"/>
    </row>
    <row r="280">
      <c r="J280" s="43"/>
      <c r="K280" s="43"/>
      <c r="L280" s="43"/>
      <c r="M280" s="44"/>
    </row>
    <row r="281">
      <c r="J281" s="43"/>
      <c r="K281" s="43"/>
      <c r="L281" s="43"/>
      <c r="M281" s="44"/>
    </row>
    <row r="282">
      <c r="J282" s="43"/>
      <c r="K282" s="43"/>
      <c r="L282" s="43"/>
      <c r="M282" s="44"/>
    </row>
    <row r="283">
      <c r="J283" s="43"/>
      <c r="K283" s="43"/>
      <c r="L283" s="43"/>
      <c r="M283" s="44"/>
    </row>
    <row r="284">
      <c r="J284" s="43"/>
      <c r="K284" s="43"/>
      <c r="L284" s="43"/>
      <c r="M284" s="44"/>
    </row>
    <row r="285">
      <c r="J285" s="43"/>
      <c r="K285" s="43"/>
      <c r="L285" s="43"/>
      <c r="M285" s="44"/>
    </row>
    <row r="286">
      <c r="J286" s="43"/>
      <c r="K286" s="43"/>
      <c r="L286" s="43"/>
      <c r="M286" s="44"/>
    </row>
    <row r="287">
      <c r="J287" s="43"/>
      <c r="K287" s="43"/>
      <c r="L287" s="43"/>
      <c r="M287" s="44"/>
    </row>
    <row r="288">
      <c r="J288" s="43"/>
      <c r="K288" s="43"/>
      <c r="L288" s="43"/>
      <c r="M288" s="44"/>
    </row>
    <row r="289">
      <c r="J289" s="43"/>
      <c r="K289" s="43"/>
      <c r="L289" s="43"/>
      <c r="M289" s="44"/>
    </row>
    <row r="290">
      <c r="J290" s="43"/>
      <c r="K290" s="43"/>
      <c r="L290" s="43"/>
      <c r="M290" s="44"/>
    </row>
    <row r="291">
      <c r="J291" s="43"/>
      <c r="K291" s="43"/>
      <c r="L291" s="43"/>
      <c r="M291" s="44"/>
    </row>
    <row r="292">
      <c r="J292" s="43"/>
      <c r="K292" s="43"/>
      <c r="L292" s="43"/>
      <c r="M292" s="44"/>
    </row>
    <row r="293">
      <c r="J293" s="43"/>
      <c r="K293" s="43"/>
      <c r="L293" s="43"/>
      <c r="M293" s="44"/>
    </row>
    <row r="294">
      <c r="J294" s="43"/>
      <c r="K294" s="43"/>
      <c r="L294" s="43"/>
      <c r="M294" s="44"/>
    </row>
    <row r="295">
      <c r="J295" s="43"/>
      <c r="K295" s="43"/>
      <c r="L295" s="43"/>
      <c r="M295" s="44"/>
    </row>
    <row r="296">
      <c r="J296" s="43"/>
      <c r="K296" s="43"/>
      <c r="L296" s="43"/>
      <c r="M296" s="44"/>
    </row>
    <row r="297">
      <c r="J297" s="43"/>
      <c r="K297" s="43"/>
      <c r="L297" s="43"/>
      <c r="M297" s="44"/>
    </row>
    <row r="298">
      <c r="J298" s="43"/>
      <c r="K298" s="43"/>
      <c r="L298" s="43"/>
      <c r="M298" s="44"/>
    </row>
    <row r="299">
      <c r="J299" s="43"/>
      <c r="K299" s="43"/>
      <c r="L299" s="43"/>
      <c r="M299" s="44"/>
    </row>
    <row r="300">
      <c r="J300" s="43"/>
      <c r="K300" s="43"/>
      <c r="L300" s="43"/>
      <c r="M300" s="44"/>
    </row>
    <row r="301">
      <c r="J301" s="43"/>
      <c r="K301" s="43"/>
      <c r="L301" s="43"/>
      <c r="M301" s="44"/>
    </row>
    <row r="302">
      <c r="J302" s="43"/>
      <c r="K302" s="43"/>
      <c r="L302" s="43"/>
      <c r="M302" s="44"/>
    </row>
    <row r="303">
      <c r="J303" s="43"/>
      <c r="K303" s="43"/>
      <c r="L303" s="43"/>
      <c r="M303" s="44"/>
    </row>
    <row r="304">
      <c r="J304" s="43"/>
      <c r="K304" s="43"/>
      <c r="L304" s="43"/>
      <c r="M304" s="44"/>
    </row>
    <row r="305">
      <c r="J305" s="43"/>
      <c r="K305" s="43"/>
      <c r="L305" s="43"/>
      <c r="M305" s="44"/>
    </row>
    <row r="306">
      <c r="J306" s="43"/>
      <c r="K306" s="43"/>
      <c r="L306" s="43"/>
      <c r="M306" s="44"/>
    </row>
    <row r="307">
      <c r="J307" s="43"/>
      <c r="K307" s="43"/>
      <c r="L307" s="43"/>
      <c r="M307" s="44"/>
    </row>
    <row r="308">
      <c r="J308" s="43"/>
      <c r="K308" s="43"/>
      <c r="L308" s="43"/>
      <c r="M308" s="44"/>
    </row>
    <row r="309">
      <c r="J309" s="43"/>
      <c r="K309" s="43"/>
      <c r="L309" s="43"/>
      <c r="M309" s="44"/>
    </row>
    <row r="310">
      <c r="J310" s="43"/>
      <c r="K310" s="43"/>
      <c r="L310" s="43"/>
      <c r="M310" s="44"/>
    </row>
    <row r="311">
      <c r="J311" s="43"/>
      <c r="K311" s="43"/>
      <c r="L311" s="43"/>
      <c r="M311" s="44"/>
    </row>
    <row r="312">
      <c r="J312" s="43"/>
      <c r="K312" s="43"/>
      <c r="L312" s="43"/>
      <c r="M312" s="44"/>
    </row>
    <row r="313">
      <c r="J313" s="43"/>
      <c r="K313" s="43"/>
      <c r="L313" s="43"/>
      <c r="M313" s="44"/>
    </row>
    <row r="314">
      <c r="J314" s="43"/>
      <c r="K314" s="43"/>
      <c r="L314" s="43"/>
      <c r="M314" s="44"/>
    </row>
    <row r="315">
      <c r="J315" s="43"/>
      <c r="K315" s="43"/>
      <c r="L315" s="43"/>
      <c r="M315" s="44"/>
    </row>
    <row r="316">
      <c r="J316" s="43"/>
      <c r="K316" s="43"/>
      <c r="L316" s="43"/>
      <c r="M316" s="44"/>
    </row>
    <row r="317">
      <c r="J317" s="43"/>
      <c r="K317" s="43"/>
      <c r="L317" s="43"/>
      <c r="M317" s="44"/>
    </row>
    <row r="318">
      <c r="J318" s="43"/>
      <c r="K318" s="43"/>
      <c r="L318" s="43"/>
      <c r="M318" s="44"/>
    </row>
    <row r="319">
      <c r="J319" s="43"/>
      <c r="K319" s="43"/>
      <c r="L319" s="43"/>
      <c r="M319" s="44"/>
    </row>
    <row r="320">
      <c r="J320" s="43"/>
      <c r="K320" s="43"/>
      <c r="L320" s="43"/>
      <c r="M320" s="44"/>
    </row>
    <row r="321">
      <c r="J321" s="43"/>
      <c r="K321" s="43"/>
      <c r="L321" s="43"/>
      <c r="M321" s="44"/>
    </row>
    <row r="322">
      <c r="J322" s="43"/>
      <c r="K322" s="43"/>
      <c r="L322" s="43"/>
      <c r="M322" s="44"/>
    </row>
    <row r="323">
      <c r="J323" s="43"/>
      <c r="K323" s="43"/>
      <c r="L323" s="43"/>
      <c r="M323" s="44"/>
    </row>
    <row r="324">
      <c r="J324" s="43"/>
      <c r="K324" s="43"/>
      <c r="L324" s="43"/>
      <c r="M324" s="44"/>
    </row>
    <row r="325">
      <c r="J325" s="43"/>
      <c r="K325" s="43"/>
      <c r="L325" s="43"/>
      <c r="M325" s="44"/>
    </row>
    <row r="326">
      <c r="J326" s="43"/>
      <c r="K326" s="43"/>
      <c r="L326" s="43"/>
      <c r="M326" s="44"/>
    </row>
    <row r="327">
      <c r="J327" s="43"/>
      <c r="K327" s="43"/>
      <c r="L327" s="43"/>
      <c r="M327" s="44"/>
    </row>
    <row r="328">
      <c r="J328" s="43"/>
      <c r="K328" s="43"/>
      <c r="L328" s="43"/>
      <c r="M328" s="44"/>
    </row>
    <row r="329">
      <c r="J329" s="43"/>
      <c r="K329" s="43"/>
      <c r="L329" s="43"/>
      <c r="M329" s="44"/>
    </row>
    <row r="330">
      <c r="J330" s="43"/>
      <c r="K330" s="43"/>
      <c r="L330" s="43"/>
      <c r="M330" s="44"/>
    </row>
    <row r="331">
      <c r="J331" s="43"/>
      <c r="K331" s="43"/>
      <c r="L331" s="43"/>
      <c r="M331" s="44"/>
    </row>
    <row r="332">
      <c r="J332" s="43"/>
      <c r="K332" s="43"/>
      <c r="L332" s="43"/>
      <c r="M332" s="44"/>
    </row>
    <row r="333">
      <c r="J333" s="43"/>
      <c r="K333" s="43"/>
      <c r="L333" s="43"/>
      <c r="M333" s="44"/>
    </row>
    <row r="334">
      <c r="J334" s="43"/>
      <c r="K334" s="43"/>
      <c r="L334" s="43"/>
      <c r="M334" s="44"/>
    </row>
    <row r="335">
      <c r="J335" s="43"/>
      <c r="K335" s="43"/>
      <c r="L335" s="43"/>
      <c r="M335" s="44"/>
    </row>
    <row r="336">
      <c r="J336" s="43"/>
      <c r="K336" s="43"/>
      <c r="L336" s="43"/>
      <c r="M336" s="44"/>
    </row>
    <row r="337">
      <c r="J337" s="43"/>
      <c r="K337" s="43"/>
      <c r="L337" s="43"/>
      <c r="M337" s="44"/>
    </row>
    <row r="338">
      <c r="J338" s="43"/>
      <c r="K338" s="43"/>
      <c r="L338" s="43"/>
      <c r="M338" s="44"/>
    </row>
    <row r="339">
      <c r="J339" s="43"/>
      <c r="K339" s="43"/>
      <c r="L339" s="43"/>
      <c r="M339" s="44"/>
    </row>
    <row r="340">
      <c r="J340" s="43"/>
      <c r="K340" s="43"/>
      <c r="L340" s="43"/>
      <c r="M340" s="44"/>
    </row>
    <row r="341">
      <c r="J341" s="43"/>
      <c r="K341" s="43"/>
      <c r="L341" s="43"/>
      <c r="M341" s="44"/>
    </row>
    <row r="342">
      <c r="J342" s="43"/>
      <c r="K342" s="43"/>
      <c r="L342" s="43"/>
      <c r="M342" s="44"/>
    </row>
    <row r="343">
      <c r="J343" s="43"/>
      <c r="K343" s="43"/>
      <c r="L343" s="43"/>
      <c r="M343" s="44"/>
    </row>
    <row r="344">
      <c r="J344" s="43"/>
      <c r="K344" s="43"/>
      <c r="L344" s="43"/>
      <c r="M344" s="44"/>
    </row>
    <row r="345">
      <c r="J345" s="43"/>
      <c r="K345" s="43"/>
      <c r="L345" s="43"/>
      <c r="M345" s="44"/>
    </row>
    <row r="346">
      <c r="J346" s="43"/>
      <c r="K346" s="43"/>
      <c r="L346" s="43"/>
      <c r="M346" s="44"/>
    </row>
    <row r="347">
      <c r="J347" s="43"/>
      <c r="K347" s="43"/>
      <c r="L347" s="43"/>
      <c r="M347" s="44"/>
    </row>
    <row r="348">
      <c r="J348" s="43"/>
      <c r="K348" s="43"/>
      <c r="L348" s="43"/>
      <c r="M348" s="44"/>
    </row>
    <row r="349">
      <c r="J349" s="43"/>
      <c r="K349" s="43"/>
      <c r="L349" s="43"/>
      <c r="M349" s="44"/>
    </row>
    <row r="350">
      <c r="J350" s="43"/>
      <c r="K350" s="43"/>
      <c r="L350" s="43"/>
      <c r="M350" s="44"/>
    </row>
    <row r="351">
      <c r="J351" s="43"/>
      <c r="K351" s="43"/>
      <c r="L351" s="43"/>
      <c r="M351" s="44"/>
    </row>
    <row r="352">
      <c r="J352" s="43"/>
      <c r="K352" s="43"/>
      <c r="L352" s="43"/>
      <c r="M352" s="44"/>
    </row>
    <row r="353">
      <c r="J353" s="43"/>
      <c r="K353" s="43"/>
      <c r="L353" s="43"/>
      <c r="M353" s="44"/>
    </row>
    <row r="354">
      <c r="J354" s="43"/>
      <c r="K354" s="43"/>
      <c r="L354" s="43"/>
      <c r="M354" s="44"/>
    </row>
    <row r="355">
      <c r="J355" s="43"/>
      <c r="K355" s="43"/>
      <c r="L355" s="43"/>
      <c r="M355" s="44"/>
    </row>
    <row r="356">
      <c r="J356" s="43"/>
      <c r="K356" s="43"/>
      <c r="L356" s="43"/>
      <c r="M356" s="44"/>
    </row>
    <row r="357">
      <c r="J357" s="43"/>
      <c r="K357" s="43"/>
      <c r="L357" s="43"/>
      <c r="M357" s="44"/>
    </row>
    <row r="358">
      <c r="J358" s="43"/>
      <c r="K358" s="43"/>
      <c r="L358" s="43"/>
      <c r="M358" s="44"/>
    </row>
    <row r="359">
      <c r="J359" s="43"/>
      <c r="K359" s="43"/>
      <c r="L359" s="43"/>
      <c r="M359" s="44"/>
    </row>
    <row r="360">
      <c r="J360" s="43"/>
      <c r="K360" s="43"/>
      <c r="L360" s="43"/>
      <c r="M360" s="44"/>
    </row>
    <row r="361">
      <c r="J361" s="43"/>
      <c r="K361" s="43"/>
      <c r="L361" s="43"/>
      <c r="M361" s="44"/>
    </row>
    <row r="362">
      <c r="J362" s="43"/>
      <c r="K362" s="43"/>
      <c r="L362" s="43"/>
      <c r="M362" s="44"/>
    </row>
    <row r="363">
      <c r="J363" s="43"/>
      <c r="K363" s="43"/>
      <c r="L363" s="43"/>
      <c r="M363" s="44"/>
    </row>
    <row r="364">
      <c r="J364" s="43"/>
      <c r="K364" s="43"/>
      <c r="L364" s="43"/>
      <c r="M364" s="44"/>
    </row>
    <row r="365">
      <c r="J365" s="43"/>
      <c r="K365" s="43"/>
      <c r="L365" s="43"/>
      <c r="M365" s="44"/>
    </row>
    <row r="366">
      <c r="J366" s="43"/>
      <c r="K366" s="43"/>
      <c r="L366" s="43"/>
      <c r="M366" s="44"/>
    </row>
    <row r="367">
      <c r="J367" s="43"/>
      <c r="K367" s="43"/>
      <c r="L367" s="43"/>
      <c r="M367" s="44"/>
    </row>
    <row r="368">
      <c r="J368" s="43"/>
      <c r="K368" s="43"/>
      <c r="L368" s="43"/>
      <c r="M368" s="44"/>
    </row>
    <row r="369">
      <c r="J369" s="43"/>
      <c r="K369" s="43"/>
      <c r="L369" s="43"/>
      <c r="M369" s="44"/>
    </row>
    <row r="370">
      <c r="J370" s="43"/>
      <c r="K370" s="43"/>
      <c r="L370" s="43"/>
      <c r="M370" s="44"/>
    </row>
    <row r="371">
      <c r="J371" s="43"/>
      <c r="K371" s="43"/>
      <c r="L371" s="43"/>
      <c r="M371" s="44"/>
    </row>
    <row r="372">
      <c r="J372" s="43"/>
      <c r="K372" s="43"/>
      <c r="L372" s="43"/>
      <c r="M372" s="44"/>
    </row>
    <row r="373">
      <c r="J373" s="43"/>
      <c r="K373" s="43"/>
      <c r="L373" s="43"/>
      <c r="M373" s="44"/>
    </row>
    <row r="374">
      <c r="J374" s="43"/>
      <c r="K374" s="43"/>
      <c r="L374" s="43"/>
      <c r="M374" s="44"/>
    </row>
    <row r="375">
      <c r="J375" s="43"/>
      <c r="K375" s="43"/>
      <c r="L375" s="43"/>
      <c r="M375" s="44"/>
    </row>
    <row r="376">
      <c r="J376" s="43"/>
      <c r="K376" s="43"/>
      <c r="L376" s="43"/>
      <c r="M376" s="44"/>
    </row>
    <row r="377">
      <c r="J377" s="43"/>
      <c r="K377" s="43"/>
      <c r="L377" s="43"/>
      <c r="M377" s="44"/>
    </row>
    <row r="378">
      <c r="J378" s="43"/>
      <c r="K378" s="43"/>
      <c r="L378" s="43"/>
      <c r="M378" s="44"/>
    </row>
    <row r="379">
      <c r="J379" s="43"/>
      <c r="K379" s="43"/>
      <c r="L379" s="43"/>
      <c r="M379" s="44"/>
    </row>
    <row r="380">
      <c r="J380" s="43"/>
      <c r="K380" s="43"/>
      <c r="L380" s="43"/>
      <c r="M380" s="44"/>
    </row>
    <row r="381">
      <c r="J381" s="43"/>
      <c r="K381" s="43"/>
      <c r="L381" s="43"/>
      <c r="M381" s="44"/>
    </row>
    <row r="382">
      <c r="J382" s="43"/>
      <c r="K382" s="43"/>
      <c r="L382" s="43"/>
      <c r="M382" s="44"/>
    </row>
    <row r="383">
      <c r="J383" s="43"/>
      <c r="K383" s="43"/>
      <c r="L383" s="43"/>
      <c r="M383" s="44"/>
    </row>
    <row r="384">
      <c r="J384" s="43"/>
      <c r="K384" s="43"/>
      <c r="L384" s="43"/>
      <c r="M384" s="44"/>
    </row>
    <row r="385">
      <c r="J385" s="43"/>
      <c r="K385" s="43"/>
      <c r="L385" s="43"/>
      <c r="M385" s="44"/>
    </row>
    <row r="386">
      <c r="J386" s="43"/>
      <c r="K386" s="43"/>
      <c r="L386" s="43"/>
      <c r="M386" s="44"/>
    </row>
    <row r="387">
      <c r="J387" s="43"/>
      <c r="K387" s="43"/>
      <c r="L387" s="43"/>
      <c r="M387" s="44"/>
    </row>
    <row r="388">
      <c r="J388" s="43"/>
      <c r="K388" s="43"/>
      <c r="L388" s="43"/>
      <c r="M388" s="44"/>
    </row>
    <row r="389">
      <c r="J389" s="43"/>
      <c r="K389" s="43"/>
      <c r="L389" s="43"/>
      <c r="M389" s="44"/>
    </row>
    <row r="390">
      <c r="J390" s="43"/>
      <c r="K390" s="43"/>
      <c r="L390" s="43"/>
      <c r="M390" s="44"/>
    </row>
    <row r="391">
      <c r="J391" s="43"/>
      <c r="K391" s="43"/>
      <c r="L391" s="43"/>
      <c r="M391" s="44"/>
    </row>
    <row r="392">
      <c r="J392" s="43"/>
      <c r="K392" s="43"/>
      <c r="L392" s="43"/>
      <c r="M392" s="44"/>
    </row>
    <row r="393">
      <c r="J393" s="43"/>
      <c r="K393" s="43"/>
      <c r="L393" s="43"/>
      <c r="M393" s="44"/>
    </row>
    <row r="394">
      <c r="J394" s="43"/>
      <c r="K394" s="43"/>
      <c r="L394" s="43"/>
      <c r="M394" s="44"/>
    </row>
    <row r="395">
      <c r="J395" s="43"/>
      <c r="K395" s="43"/>
      <c r="L395" s="43"/>
      <c r="M395" s="44"/>
    </row>
    <row r="396">
      <c r="J396" s="43"/>
      <c r="K396" s="43"/>
      <c r="L396" s="43"/>
      <c r="M396" s="44"/>
    </row>
    <row r="397">
      <c r="J397" s="43"/>
      <c r="K397" s="43"/>
      <c r="L397" s="43"/>
      <c r="M397" s="44"/>
    </row>
    <row r="398">
      <c r="J398" s="43"/>
      <c r="K398" s="43"/>
      <c r="L398" s="43"/>
      <c r="M398" s="44"/>
    </row>
    <row r="399">
      <c r="J399" s="43"/>
      <c r="K399" s="43"/>
      <c r="L399" s="43"/>
      <c r="M399" s="44"/>
    </row>
    <row r="400">
      <c r="J400" s="43"/>
      <c r="K400" s="43"/>
      <c r="L400" s="43"/>
      <c r="M400" s="44"/>
    </row>
    <row r="401">
      <c r="J401" s="43"/>
      <c r="K401" s="43"/>
      <c r="L401" s="43"/>
      <c r="M401" s="44"/>
    </row>
    <row r="402">
      <c r="J402" s="43"/>
      <c r="K402" s="43"/>
      <c r="L402" s="43"/>
      <c r="M402" s="44"/>
    </row>
    <row r="403">
      <c r="J403" s="43"/>
      <c r="K403" s="43"/>
      <c r="L403" s="43"/>
      <c r="M403" s="44"/>
    </row>
    <row r="404">
      <c r="J404" s="43"/>
      <c r="K404" s="43"/>
      <c r="L404" s="43"/>
      <c r="M404" s="44"/>
    </row>
    <row r="405">
      <c r="J405" s="43"/>
      <c r="K405" s="43"/>
      <c r="L405" s="43"/>
      <c r="M405" s="44"/>
    </row>
    <row r="406">
      <c r="J406" s="43"/>
      <c r="K406" s="43"/>
      <c r="L406" s="43"/>
      <c r="M406" s="44"/>
    </row>
    <row r="407">
      <c r="J407" s="43"/>
      <c r="K407" s="43"/>
      <c r="L407" s="43"/>
      <c r="M407" s="44"/>
    </row>
    <row r="408">
      <c r="J408" s="43"/>
      <c r="K408" s="43"/>
      <c r="L408" s="43"/>
      <c r="M408" s="44"/>
    </row>
    <row r="409">
      <c r="J409" s="43"/>
      <c r="K409" s="43"/>
      <c r="L409" s="43"/>
      <c r="M409" s="44"/>
    </row>
    <row r="410">
      <c r="J410" s="43"/>
      <c r="K410" s="43"/>
      <c r="L410" s="43"/>
      <c r="M410" s="44"/>
    </row>
    <row r="411">
      <c r="J411" s="43"/>
      <c r="K411" s="43"/>
      <c r="L411" s="43"/>
      <c r="M411" s="44"/>
    </row>
    <row r="412">
      <c r="J412" s="43"/>
      <c r="K412" s="43"/>
      <c r="L412" s="43"/>
      <c r="M412" s="44"/>
    </row>
    <row r="413">
      <c r="J413" s="43"/>
      <c r="K413" s="43"/>
      <c r="L413" s="43"/>
      <c r="M413" s="44"/>
    </row>
    <row r="414">
      <c r="J414" s="43"/>
      <c r="K414" s="43"/>
      <c r="L414" s="43"/>
      <c r="M414" s="44"/>
    </row>
    <row r="415">
      <c r="J415" s="43"/>
      <c r="K415" s="43"/>
      <c r="L415" s="43"/>
      <c r="M415" s="44"/>
    </row>
    <row r="416">
      <c r="J416" s="43"/>
      <c r="K416" s="43"/>
      <c r="L416" s="43"/>
      <c r="M416" s="44"/>
    </row>
    <row r="417">
      <c r="J417" s="43"/>
      <c r="K417" s="43"/>
      <c r="L417" s="43"/>
      <c r="M417" s="44"/>
    </row>
    <row r="418">
      <c r="J418" s="43"/>
      <c r="K418" s="43"/>
      <c r="L418" s="43"/>
      <c r="M418" s="44"/>
    </row>
    <row r="419">
      <c r="J419" s="43"/>
      <c r="K419" s="43"/>
      <c r="L419" s="43"/>
      <c r="M419" s="44"/>
    </row>
    <row r="420">
      <c r="J420" s="43"/>
      <c r="K420" s="43"/>
      <c r="L420" s="43"/>
      <c r="M420" s="44"/>
    </row>
    <row r="421">
      <c r="J421" s="43"/>
      <c r="K421" s="43"/>
      <c r="L421" s="43"/>
      <c r="M421" s="44"/>
    </row>
    <row r="422">
      <c r="J422" s="43"/>
      <c r="K422" s="43"/>
      <c r="L422" s="43"/>
      <c r="M422" s="44"/>
    </row>
    <row r="423">
      <c r="J423" s="43"/>
      <c r="K423" s="43"/>
      <c r="L423" s="43"/>
      <c r="M423" s="44"/>
    </row>
    <row r="424">
      <c r="J424" s="43"/>
      <c r="K424" s="43"/>
      <c r="L424" s="43"/>
      <c r="M424" s="44"/>
    </row>
    <row r="425">
      <c r="J425" s="43"/>
      <c r="K425" s="43"/>
      <c r="L425" s="43"/>
      <c r="M425" s="44"/>
    </row>
    <row r="426">
      <c r="J426" s="43"/>
      <c r="K426" s="43"/>
      <c r="L426" s="43"/>
      <c r="M426" s="44"/>
    </row>
    <row r="427">
      <c r="J427" s="43"/>
      <c r="K427" s="43"/>
      <c r="L427" s="43"/>
      <c r="M427" s="44"/>
    </row>
    <row r="428">
      <c r="J428" s="43"/>
      <c r="K428" s="43"/>
      <c r="L428" s="43"/>
      <c r="M428" s="44"/>
    </row>
    <row r="429">
      <c r="J429" s="43"/>
      <c r="K429" s="43"/>
      <c r="L429" s="43"/>
      <c r="M429" s="44"/>
    </row>
    <row r="430">
      <c r="J430" s="43"/>
      <c r="K430" s="43"/>
      <c r="L430" s="43"/>
      <c r="M430" s="44"/>
    </row>
    <row r="431">
      <c r="J431" s="43"/>
      <c r="K431" s="43"/>
      <c r="L431" s="43"/>
      <c r="M431" s="44"/>
    </row>
    <row r="432">
      <c r="J432" s="43"/>
      <c r="K432" s="43"/>
      <c r="L432" s="43"/>
      <c r="M432" s="44"/>
    </row>
    <row r="433">
      <c r="J433" s="43"/>
      <c r="K433" s="43"/>
      <c r="L433" s="43"/>
      <c r="M433" s="44"/>
    </row>
    <row r="434">
      <c r="J434" s="43"/>
      <c r="K434" s="43"/>
      <c r="L434" s="43"/>
      <c r="M434" s="44"/>
    </row>
    <row r="435">
      <c r="J435" s="43"/>
      <c r="K435" s="43"/>
      <c r="L435" s="43"/>
      <c r="M435" s="44"/>
    </row>
    <row r="436">
      <c r="J436" s="43"/>
      <c r="K436" s="43"/>
      <c r="L436" s="43"/>
      <c r="M436" s="44"/>
    </row>
    <row r="437">
      <c r="J437" s="43"/>
      <c r="K437" s="43"/>
      <c r="L437" s="43"/>
      <c r="M437" s="44"/>
    </row>
    <row r="438">
      <c r="J438" s="43"/>
      <c r="K438" s="43"/>
      <c r="L438" s="43"/>
      <c r="M438" s="44"/>
    </row>
    <row r="439">
      <c r="J439" s="43"/>
      <c r="K439" s="43"/>
      <c r="L439" s="43"/>
      <c r="M439" s="44"/>
    </row>
    <row r="440">
      <c r="J440" s="43"/>
      <c r="K440" s="43"/>
      <c r="L440" s="43"/>
      <c r="M440" s="44"/>
    </row>
    <row r="441">
      <c r="J441" s="43"/>
      <c r="K441" s="43"/>
      <c r="L441" s="43"/>
      <c r="M441" s="44"/>
    </row>
    <row r="442">
      <c r="J442" s="43"/>
      <c r="K442" s="43"/>
      <c r="L442" s="43"/>
      <c r="M442" s="44"/>
    </row>
    <row r="443">
      <c r="J443" s="43"/>
      <c r="K443" s="43"/>
      <c r="L443" s="43"/>
      <c r="M443" s="44"/>
    </row>
    <row r="444">
      <c r="J444" s="43"/>
      <c r="K444" s="43"/>
      <c r="L444" s="43"/>
      <c r="M444" s="44"/>
    </row>
    <row r="445">
      <c r="J445" s="43"/>
      <c r="K445" s="43"/>
      <c r="L445" s="43"/>
      <c r="M445" s="44"/>
    </row>
    <row r="446">
      <c r="J446" s="43"/>
      <c r="K446" s="43"/>
      <c r="L446" s="43"/>
      <c r="M446" s="44"/>
    </row>
    <row r="447">
      <c r="J447" s="43"/>
      <c r="K447" s="43"/>
      <c r="L447" s="43"/>
      <c r="M447" s="44"/>
    </row>
    <row r="448">
      <c r="J448" s="43"/>
      <c r="K448" s="43"/>
      <c r="L448" s="43"/>
      <c r="M448" s="44"/>
    </row>
    <row r="449">
      <c r="J449" s="43"/>
      <c r="K449" s="43"/>
      <c r="L449" s="43"/>
      <c r="M449" s="44"/>
    </row>
    <row r="450">
      <c r="J450" s="43"/>
      <c r="K450" s="43"/>
      <c r="L450" s="43"/>
      <c r="M450" s="44"/>
    </row>
    <row r="451">
      <c r="J451" s="43"/>
      <c r="K451" s="43"/>
      <c r="L451" s="43"/>
      <c r="M451" s="44"/>
    </row>
    <row r="452">
      <c r="J452" s="43"/>
      <c r="K452" s="43"/>
      <c r="L452" s="43"/>
      <c r="M452" s="44"/>
    </row>
    <row r="453">
      <c r="J453" s="43"/>
      <c r="K453" s="43"/>
      <c r="L453" s="43"/>
      <c r="M453" s="44"/>
    </row>
    <row r="454">
      <c r="J454" s="43"/>
      <c r="K454" s="43"/>
      <c r="L454" s="43"/>
      <c r="M454" s="44"/>
    </row>
    <row r="455">
      <c r="J455" s="43"/>
      <c r="K455" s="43"/>
      <c r="L455" s="43"/>
      <c r="M455" s="44"/>
    </row>
    <row r="456">
      <c r="J456" s="43"/>
      <c r="K456" s="43"/>
      <c r="L456" s="43"/>
      <c r="M456" s="44"/>
    </row>
    <row r="457">
      <c r="J457" s="43"/>
      <c r="K457" s="43"/>
      <c r="L457" s="43"/>
      <c r="M457" s="44"/>
    </row>
    <row r="458">
      <c r="J458" s="43"/>
      <c r="K458" s="43"/>
      <c r="L458" s="43"/>
      <c r="M458" s="44"/>
    </row>
    <row r="459">
      <c r="J459" s="43"/>
      <c r="K459" s="43"/>
      <c r="L459" s="43"/>
      <c r="M459" s="44"/>
    </row>
    <row r="460">
      <c r="J460" s="43"/>
      <c r="K460" s="43"/>
      <c r="L460" s="43"/>
      <c r="M460" s="44"/>
    </row>
    <row r="461">
      <c r="J461" s="43"/>
      <c r="K461" s="43"/>
      <c r="L461" s="43"/>
      <c r="M461" s="44"/>
    </row>
    <row r="462">
      <c r="J462" s="43"/>
      <c r="K462" s="43"/>
      <c r="L462" s="43"/>
      <c r="M462" s="44"/>
    </row>
    <row r="463">
      <c r="J463" s="43"/>
      <c r="K463" s="43"/>
      <c r="L463" s="43"/>
      <c r="M463" s="44"/>
    </row>
    <row r="464">
      <c r="J464" s="43"/>
      <c r="K464" s="43"/>
      <c r="L464" s="43"/>
      <c r="M464" s="44"/>
    </row>
    <row r="465">
      <c r="J465" s="43"/>
      <c r="K465" s="43"/>
      <c r="L465" s="43"/>
      <c r="M465" s="44"/>
    </row>
    <row r="466">
      <c r="J466" s="43"/>
      <c r="K466" s="43"/>
      <c r="L466" s="43"/>
      <c r="M466" s="44"/>
    </row>
    <row r="467">
      <c r="J467" s="43"/>
      <c r="K467" s="43"/>
      <c r="L467" s="43"/>
      <c r="M467" s="44"/>
    </row>
    <row r="468">
      <c r="J468" s="43"/>
      <c r="K468" s="43"/>
      <c r="L468" s="43"/>
      <c r="M468" s="44"/>
    </row>
    <row r="469">
      <c r="J469" s="43"/>
      <c r="K469" s="43"/>
      <c r="L469" s="43"/>
      <c r="M469" s="44"/>
    </row>
    <row r="470">
      <c r="J470" s="43"/>
      <c r="K470" s="43"/>
      <c r="L470" s="43"/>
      <c r="M470" s="44"/>
    </row>
    <row r="471">
      <c r="J471" s="43"/>
      <c r="K471" s="43"/>
      <c r="L471" s="43"/>
      <c r="M471" s="44"/>
    </row>
    <row r="472">
      <c r="J472" s="43"/>
      <c r="K472" s="43"/>
      <c r="L472" s="43"/>
      <c r="M472" s="44"/>
    </row>
    <row r="473">
      <c r="J473" s="43"/>
      <c r="K473" s="43"/>
      <c r="L473" s="43"/>
      <c r="M473" s="44"/>
    </row>
    <row r="474">
      <c r="J474" s="43"/>
      <c r="K474" s="43"/>
      <c r="L474" s="43"/>
      <c r="M474" s="44"/>
    </row>
    <row r="475">
      <c r="J475" s="43"/>
      <c r="K475" s="43"/>
      <c r="L475" s="43"/>
      <c r="M475" s="44"/>
    </row>
    <row r="476">
      <c r="J476" s="43"/>
      <c r="K476" s="43"/>
      <c r="L476" s="43"/>
      <c r="M476" s="44"/>
    </row>
    <row r="477">
      <c r="J477" s="43"/>
      <c r="K477" s="43"/>
      <c r="L477" s="43"/>
      <c r="M477" s="44"/>
    </row>
    <row r="478">
      <c r="J478" s="43"/>
      <c r="K478" s="43"/>
      <c r="L478" s="43"/>
      <c r="M478" s="44"/>
    </row>
    <row r="479">
      <c r="J479" s="43"/>
      <c r="K479" s="43"/>
      <c r="L479" s="43"/>
      <c r="M479" s="44"/>
    </row>
    <row r="480">
      <c r="J480" s="43"/>
      <c r="K480" s="43"/>
      <c r="L480" s="43"/>
      <c r="M480" s="44"/>
    </row>
    <row r="481">
      <c r="J481" s="43"/>
      <c r="K481" s="43"/>
      <c r="L481" s="43"/>
      <c r="M481" s="44"/>
    </row>
    <row r="482">
      <c r="J482" s="43"/>
      <c r="K482" s="43"/>
      <c r="L482" s="43"/>
      <c r="M482" s="44"/>
    </row>
    <row r="483">
      <c r="J483" s="43"/>
      <c r="K483" s="43"/>
      <c r="L483" s="43"/>
      <c r="M483" s="44"/>
    </row>
    <row r="484">
      <c r="J484" s="43"/>
      <c r="K484" s="43"/>
      <c r="L484" s="43"/>
      <c r="M484" s="44"/>
    </row>
    <row r="485">
      <c r="J485" s="43"/>
      <c r="K485" s="43"/>
      <c r="L485" s="43"/>
      <c r="M485" s="44"/>
    </row>
    <row r="486">
      <c r="J486" s="43"/>
      <c r="K486" s="43"/>
      <c r="L486" s="43"/>
      <c r="M486" s="44"/>
    </row>
    <row r="487">
      <c r="J487" s="43"/>
      <c r="K487" s="43"/>
      <c r="L487" s="43"/>
      <c r="M487" s="44"/>
    </row>
    <row r="488">
      <c r="J488" s="43"/>
      <c r="K488" s="43"/>
      <c r="L488" s="43"/>
      <c r="M488" s="44"/>
    </row>
    <row r="489">
      <c r="J489" s="43"/>
      <c r="K489" s="43"/>
      <c r="L489" s="43"/>
      <c r="M489" s="44"/>
    </row>
    <row r="490">
      <c r="J490" s="43"/>
      <c r="K490" s="43"/>
      <c r="L490" s="43"/>
      <c r="M490" s="44"/>
    </row>
    <row r="491">
      <c r="J491" s="43"/>
      <c r="K491" s="43"/>
      <c r="L491" s="43"/>
      <c r="M491" s="44"/>
    </row>
    <row r="492">
      <c r="J492" s="43"/>
      <c r="K492" s="43"/>
      <c r="L492" s="43"/>
      <c r="M492" s="44"/>
    </row>
    <row r="493">
      <c r="J493" s="43"/>
      <c r="K493" s="43"/>
      <c r="L493" s="43"/>
      <c r="M493" s="44"/>
    </row>
    <row r="494">
      <c r="J494" s="43"/>
      <c r="K494" s="43"/>
      <c r="L494" s="43"/>
      <c r="M494" s="44"/>
    </row>
    <row r="495">
      <c r="J495" s="43"/>
      <c r="K495" s="43"/>
      <c r="L495" s="43"/>
      <c r="M495" s="44"/>
    </row>
    <row r="496">
      <c r="J496" s="43"/>
      <c r="K496" s="43"/>
      <c r="L496" s="43"/>
      <c r="M496" s="44"/>
    </row>
    <row r="497">
      <c r="J497" s="43"/>
      <c r="K497" s="43"/>
      <c r="L497" s="43"/>
      <c r="M497" s="44"/>
    </row>
    <row r="498">
      <c r="J498" s="43"/>
      <c r="K498" s="43"/>
      <c r="L498" s="43"/>
      <c r="M498" s="44"/>
    </row>
    <row r="499">
      <c r="J499" s="43"/>
      <c r="K499" s="43"/>
      <c r="L499" s="43"/>
      <c r="M499" s="44"/>
    </row>
    <row r="500">
      <c r="J500" s="43"/>
      <c r="K500" s="43"/>
      <c r="L500" s="43"/>
      <c r="M500" s="44"/>
    </row>
    <row r="501">
      <c r="J501" s="43"/>
      <c r="K501" s="43"/>
      <c r="L501" s="43"/>
      <c r="M501" s="44"/>
    </row>
    <row r="502">
      <c r="J502" s="43"/>
      <c r="K502" s="43"/>
      <c r="L502" s="43"/>
      <c r="M502" s="44"/>
    </row>
    <row r="503">
      <c r="J503" s="43"/>
      <c r="K503" s="43"/>
      <c r="L503" s="43"/>
      <c r="M503" s="44"/>
    </row>
    <row r="504">
      <c r="J504" s="43"/>
      <c r="K504" s="43"/>
      <c r="L504" s="43"/>
      <c r="M504" s="44"/>
    </row>
    <row r="505">
      <c r="J505" s="43"/>
      <c r="K505" s="43"/>
      <c r="L505" s="43"/>
      <c r="M505" s="44"/>
    </row>
    <row r="506">
      <c r="J506" s="43"/>
      <c r="K506" s="43"/>
      <c r="L506" s="43"/>
      <c r="M506" s="44"/>
    </row>
    <row r="507">
      <c r="J507" s="43"/>
      <c r="K507" s="43"/>
      <c r="L507" s="43"/>
      <c r="M507" s="44"/>
    </row>
    <row r="508">
      <c r="J508" s="43"/>
      <c r="K508" s="43"/>
      <c r="L508" s="43"/>
      <c r="M508" s="44"/>
    </row>
    <row r="509">
      <c r="J509" s="43"/>
      <c r="K509" s="43"/>
      <c r="L509" s="43"/>
      <c r="M509" s="44"/>
    </row>
    <row r="510">
      <c r="J510" s="43"/>
      <c r="K510" s="43"/>
      <c r="L510" s="43"/>
      <c r="M510" s="44"/>
    </row>
    <row r="511">
      <c r="J511" s="43"/>
      <c r="K511" s="43"/>
      <c r="L511" s="43"/>
      <c r="M511" s="44"/>
    </row>
    <row r="512">
      <c r="J512" s="43"/>
      <c r="K512" s="43"/>
      <c r="L512" s="43"/>
      <c r="M512" s="44"/>
    </row>
    <row r="513">
      <c r="J513" s="43"/>
      <c r="K513" s="43"/>
      <c r="L513" s="43"/>
      <c r="M513" s="44"/>
    </row>
    <row r="514">
      <c r="J514" s="43"/>
      <c r="K514" s="43"/>
      <c r="L514" s="43"/>
      <c r="M514" s="44"/>
    </row>
    <row r="515">
      <c r="J515" s="43"/>
      <c r="K515" s="43"/>
      <c r="L515" s="43"/>
      <c r="M515" s="44"/>
    </row>
    <row r="516">
      <c r="J516" s="43"/>
      <c r="K516" s="43"/>
      <c r="L516" s="43"/>
      <c r="M516" s="44"/>
    </row>
    <row r="517">
      <c r="J517" s="43"/>
      <c r="K517" s="43"/>
      <c r="L517" s="43"/>
      <c r="M517" s="44"/>
    </row>
    <row r="518">
      <c r="J518" s="43"/>
      <c r="K518" s="43"/>
      <c r="L518" s="43"/>
      <c r="M518" s="44"/>
    </row>
    <row r="519">
      <c r="J519" s="43"/>
      <c r="K519" s="43"/>
      <c r="L519" s="43"/>
      <c r="M519" s="44"/>
    </row>
    <row r="520">
      <c r="J520" s="43"/>
      <c r="K520" s="43"/>
      <c r="L520" s="43"/>
      <c r="M520" s="44"/>
    </row>
    <row r="521">
      <c r="J521" s="43"/>
      <c r="K521" s="43"/>
      <c r="L521" s="43"/>
      <c r="M521" s="44"/>
    </row>
    <row r="522">
      <c r="J522" s="43"/>
      <c r="K522" s="43"/>
      <c r="L522" s="43"/>
      <c r="M522" s="44"/>
    </row>
    <row r="523">
      <c r="J523" s="43"/>
      <c r="K523" s="43"/>
      <c r="L523" s="43"/>
      <c r="M523" s="44"/>
    </row>
    <row r="524">
      <c r="J524" s="43"/>
      <c r="K524" s="43"/>
      <c r="L524" s="43"/>
      <c r="M524" s="44"/>
    </row>
    <row r="525">
      <c r="J525" s="43"/>
      <c r="K525" s="43"/>
      <c r="L525" s="43"/>
      <c r="M525" s="44"/>
    </row>
    <row r="526">
      <c r="J526" s="43"/>
      <c r="K526" s="43"/>
      <c r="L526" s="43"/>
      <c r="M526" s="44"/>
    </row>
    <row r="527">
      <c r="J527" s="43"/>
      <c r="K527" s="43"/>
      <c r="L527" s="43"/>
      <c r="M527" s="44"/>
    </row>
    <row r="528">
      <c r="J528" s="43"/>
      <c r="K528" s="43"/>
      <c r="L528" s="43"/>
      <c r="M528" s="44"/>
    </row>
    <row r="529">
      <c r="J529" s="43"/>
      <c r="K529" s="43"/>
      <c r="L529" s="43"/>
      <c r="M529" s="44"/>
    </row>
    <row r="530">
      <c r="J530" s="43"/>
      <c r="K530" s="43"/>
      <c r="L530" s="43"/>
      <c r="M530" s="44"/>
    </row>
    <row r="531">
      <c r="J531" s="43"/>
      <c r="K531" s="43"/>
      <c r="L531" s="43"/>
      <c r="M531" s="44"/>
    </row>
    <row r="532">
      <c r="J532" s="43"/>
      <c r="K532" s="43"/>
      <c r="L532" s="43"/>
      <c r="M532" s="44"/>
    </row>
    <row r="533">
      <c r="J533" s="43"/>
      <c r="K533" s="43"/>
      <c r="L533" s="43"/>
      <c r="M533" s="44"/>
    </row>
    <row r="534">
      <c r="J534" s="43"/>
      <c r="K534" s="43"/>
      <c r="L534" s="43"/>
      <c r="M534" s="44"/>
    </row>
    <row r="535">
      <c r="J535" s="43"/>
      <c r="K535" s="43"/>
      <c r="L535" s="43"/>
      <c r="M535" s="44"/>
    </row>
    <row r="536">
      <c r="J536" s="43"/>
      <c r="K536" s="43"/>
      <c r="L536" s="43"/>
      <c r="M536" s="44"/>
    </row>
    <row r="537">
      <c r="J537" s="43"/>
      <c r="K537" s="43"/>
      <c r="L537" s="43"/>
      <c r="M537" s="44"/>
    </row>
    <row r="538">
      <c r="J538" s="43"/>
      <c r="K538" s="43"/>
      <c r="L538" s="43"/>
      <c r="M538" s="44"/>
    </row>
    <row r="539">
      <c r="J539" s="43"/>
      <c r="K539" s="43"/>
      <c r="L539" s="43"/>
      <c r="M539" s="44"/>
    </row>
    <row r="540">
      <c r="J540" s="43"/>
      <c r="K540" s="43"/>
      <c r="L540" s="43"/>
      <c r="M540" s="44"/>
    </row>
    <row r="541">
      <c r="J541" s="43"/>
      <c r="K541" s="43"/>
      <c r="L541" s="43"/>
      <c r="M541" s="44"/>
    </row>
    <row r="542">
      <c r="J542" s="43"/>
      <c r="K542" s="43"/>
      <c r="L542" s="43"/>
      <c r="M542" s="44"/>
    </row>
    <row r="543">
      <c r="J543" s="43"/>
      <c r="K543" s="43"/>
      <c r="L543" s="43"/>
      <c r="M543" s="44"/>
    </row>
    <row r="544">
      <c r="J544" s="43"/>
      <c r="K544" s="43"/>
      <c r="L544" s="43"/>
      <c r="M544" s="44"/>
    </row>
    <row r="545">
      <c r="J545" s="43"/>
      <c r="K545" s="43"/>
      <c r="L545" s="43"/>
      <c r="M545" s="44"/>
    </row>
    <row r="546">
      <c r="J546" s="43"/>
      <c r="K546" s="43"/>
      <c r="L546" s="43"/>
      <c r="M546" s="44"/>
    </row>
    <row r="547">
      <c r="J547" s="43"/>
      <c r="K547" s="43"/>
      <c r="L547" s="43"/>
      <c r="M547" s="44"/>
    </row>
    <row r="548">
      <c r="J548" s="43"/>
      <c r="K548" s="43"/>
      <c r="L548" s="43"/>
      <c r="M548" s="44"/>
    </row>
    <row r="549">
      <c r="J549" s="43"/>
      <c r="K549" s="43"/>
      <c r="L549" s="43"/>
      <c r="M549" s="44"/>
    </row>
    <row r="550">
      <c r="J550" s="43"/>
      <c r="K550" s="43"/>
      <c r="L550" s="43"/>
      <c r="M550" s="44"/>
    </row>
    <row r="551">
      <c r="J551" s="43"/>
      <c r="K551" s="43"/>
      <c r="L551" s="43"/>
      <c r="M551" s="44"/>
    </row>
    <row r="552">
      <c r="J552" s="43"/>
      <c r="K552" s="43"/>
      <c r="L552" s="43"/>
      <c r="M552" s="44"/>
    </row>
    <row r="553">
      <c r="J553" s="43"/>
      <c r="K553" s="43"/>
      <c r="L553" s="43"/>
      <c r="M553" s="44"/>
    </row>
    <row r="554">
      <c r="J554" s="43"/>
      <c r="K554" s="43"/>
      <c r="L554" s="43"/>
      <c r="M554" s="44"/>
    </row>
    <row r="555">
      <c r="J555" s="43"/>
      <c r="K555" s="43"/>
      <c r="L555" s="43"/>
      <c r="M555" s="44"/>
    </row>
    <row r="556">
      <c r="J556" s="43"/>
      <c r="K556" s="43"/>
      <c r="L556" s="43"/>
      <c r="M556" s="44"/>
    </row>
    <row r="557">
      <c r="J557" s="43"/>
      <c r="K557" s="43"/>
      <c r="L557" s="43"/>
      <c r="M557" s="44"/>
    </row>
    <row r="558">
      <c r="J558" s="43"/>
      <c r="K558" s="43"/>
      <c r="L558" s="43"/>
      <c r="M558" s="44"/>
    </row>
    <row r="559">
      <c r="J559" s="43"/>
      <c r="K559" s="43"/>
      <c r="L559" s="43"/>
      <c r="M559" s="44"/>
    </row>
    <row r="560">
      <c r="J560" s="43"/>
      <c r="K560" s="43"/>
      <c r="L560" s="43"/>
      <c r="M560" s="44"/>
    </row>
    <row r="561">
      <c r="J561" s="43"/>
      <c r="K561" s="43"/>
      <c r="L561" s="43"/>
      <c r="M561" s="44"/>
    </row>
    <row r="562">
      <c r="J562" s="43"/>
      <c r="K562" s="43"/>
      <c r="L562" s="43"/>
      <c r="M562" s="44"/>
    </row>
    <row r="563">
      <c r="J563" s="43"/>
      <c r="K563" s="43"/>
      <c r="L563" s="43"/>
      <c r="M563" s="44"/>
    </row>
    <row r="564">
      <c r="J564" s="43"/>
      <c r="K564" s="43"/>
      <c r="L564" s="43"/>
      <c r="M564" s="44"/>
    </row>
    <row r="565">
      <c r="J565" s="43"/>
      <c r="K565" s="43"/>
      <c r="L565" s="43"/>
      <c r="M565" s="44"/>
    </row>
    <row r="566">
      <c r="J566" s="43"/>
      <c r="K566" s="43"/>
      <c r="L566" s="43"/>
      <c r="M566" s="44"/>
    </row>
    <row r="567">
      <c r="J567" s="43"/>
      <c r="K567" s="43"/>
      <c r="L567" s="43"/>
      <c r="M567" s="44"/>
    </row>
    <row r="568">
      <c r="J568" s="43"/>
      <c r="K568" s="43"/>
      <c r="L568" s="43"/>
      <c r="M568" s="44"/>
    </row>
    <row r="569">
      <c r="J569" s="43"/>
      <c r="K569" s="43"/>
      <c r="L569" s="43"/>
      <c r="M569" s="44"/>
    </row>
    <row r="570">
      <c r="J570" s="43"/>
      <c r="K570" s="43"/>
      <c r="L570" s="43"/>
      <c r="M570" s="44"/>
    </row>
    <row r="571">
      <c r="J571" s="43"/>
      <c r="K571" s="43"/>
      <c r="L571" s="43"/>
      <c r="M571" s="44"/>
    </row>
    <row r="572">
      <c r="J572" s="43"/>
      <c r="K572" s="43"/>
      <c r="L572" s="43"/>
      <c r="M572" s="44"/>
    </row>
    <row r="573">
      <c r="J573" s="43"/>
      <c r="K573" s="43"/>
      <c r="L573" s="43"/>
      <c r="M573" s="44"/>
    </row>
    <row r="574">
      <c r="J574" s="43"/>
      <c r="K574" s="43"/>
      <c r="L574" s="43"/>
      <c r="M574" s="44"/>
    </row>
    <row r="575">
      <c r="J575" s="43"/>
      <c r="K575" s="43"/>
      <c r="L575" s="43"/>
      <c r="M575" s="44"/>
    </row>
    <row r="576">
      <c r="J576" s="43"/>
      <c r="K576" s="43"/>
      <c r="L576" s="43"/>
      <c r="M576" s="44"/>
    </row>
    <row r="577">
      <c r="J577" s="43"/>
      <c r="K577" s="43"/>
      <c r="L577" s="43"/>
      <c r="M577" s="44"/>
    </row>
    <row r="578">
      <c r="J578" s="43"/>
      <c r="K578" s="43"/>
      <c r="L578" s="43"/>
      <c r="M578" s="44"/>
    </row>
    <row r="579">
      <c r="J579" s="43"/>
      <c r="K579" s="43"/>
      <c r="L579" s="43"/>
      <c r="M579" s="44"/>
    </row>
    <row r="580">
      <c r="J580" s="43"/>
      <c r="K580" s="43"/>
      <c r="L580" s="43"/>
      <c r="M580" s="44"/>
    </row>
    <row r="581">
      <c r="J581" s="43"/>
      <c r="K581" s="43"/>
      <c r="L581" s="43"/>
      <c r="M581" s="44"/>
    </row>
    <row r="582">
      <c r="J582" s="43"/>
      <c r="K582" s="43"/>
      <c r="L582" s="43"/>
      <c r="M582" s="44"/>
    </row>
    <row r="583">
      <c r="J583" s="43"/>
      <c r="K583" s="43"/>
      <c r="L583" s="43"/>
      <c r="M583" s="44"/>
    </row>
    <row r="584">
      <c r="J584" s="43"/>
      <c r="K584" s="43"/>
      <c r="L584" s="43"/>
      <c r="M584" s="44"/>
    </row>
    <row r="585">
      <c r="J585" s="43"/>
      <c r="K585" s="43"/>
      <c r="L585" s="43"/>
      <c r="M585" s="44"/>
    </row>
    <row r="586">
      <c r="J586" s="43"/>
      <c r="K586" s="43"/>
      <c r="L586" s="43"/>
      <c r="M586" s="44"/>
    </row>
    <row r="587">
      <c r="J587" s="43"/>
      <c r="K587" s="43"/>
      <c r="L587" s="43"/>
      <c r="M587" s="44"/>
    </row>
    <row r="588">
      <c r="J588" s="43"/>
      <c r="K588" s="43"/>
      <c r="L588" s="43"/>
      <c r="M588" s="44"/>
    </row>
    <row r="589">
      <c r="J589" s="43"/>
      <c r="K589" s="43"/>
      <c r="L589" s="43"/>
      <c r="M589" s="44"/>
    </row>
    <row r="590">
      <c r="J590" s="43"/>
      <c r="K590" s="43"/>
      <c r="L590" s="43"/>
      <c r="M590" s="44"/>
    </row>
    <row r="591">
      <c r="J591" s="43"/>
      <c r="K591" s="43"/>
      <c r="L591" s="43"/>
      <c r="M591" s="44"/>
    </row>
    <row r="592">
      <c r="J592" s="43"/>
      <c r="K592" s="43"/>
      <c r="L592" s="43"/>
      <c r="M592" s="44"/>
    </row>
    <row r="593">
      <c r="J593" s="43"/>
      <c r="K593" s="43"/>
      <c r="L593" s="43"/>
      <c r="M593" s="44"/>
    </row>
    <row r="594">
      <c r="J594" s="43"/>
      <c r="K594" s="43"/>
      <c r="L594" s="43"/>
      <c r="M594" s="44"/>
    </row>
    <row r="595">
      <c r="J595" s="43"/>
      <c r="K595" s="43"/>
      <c r="L595" s="43"/>
      <c r="M595" s="44"/>
    </row>
    <row r="596">
      <c r="J596" s="43"/>
      <c r="K596" s="43"/>
      <c r="L596" s="43"/>
      <c r="M596" s="44"/>
    </row>
    <row r="597">
      <c r="J597" s="43"/>
      <c r="K597" s="43"/>
      <c r="L597" s="43"/>
      <c r="M597" s="44"/>
    </row>
    <row r="598">
      <c r="J598" s="43"/>
      <c r="K598" s="43"/>
      <c r="L598" s="43"/>
      <c r="M598" s="44"/>
    </row>
    <row r="599">
      <c r="J599" s="43"/>
      <c r="K599" s="43"/>
      <c r="L599" s="43"/>
      <c r="M599" s="44"/>
    </row>
    <row r="600">
      <c r="J600" s="43"/>
      <c r="K600" s="43"/>
      <c r="L600" s="43"/>
      <c r="M600" s="44"/>
    </row>
    <row r="601">
      <c r="J601" s="43"/>
      <c r="K601" s="43"/>
      <c r="L601" s="43"/>
      <c r="M601" s="44"/>
    </row>
    <row r="602">
      <c r="J602" s="43"/>
      <c r="K602" s="43"/>
      <c r="L602" s="43"/>
      <c r="M602" s="44"/>
    </row>
    <row r="603">
      <c r="J603" s="43"/>
      <c r="K603" s="43"/>
      <c r="L603" s="43"/>
      <c r="M603" s="44"/>
    </row>
    <row r="604">
      <c r="J604" s="43"/>
      <c r="K604" s="43"/>
      <c r="L604" s="43"/>
      <c r="M604" s="44"/>
    </row>
    <row r="605">
      <c r="J605" s="43"/>
      <c r="K605" s="43"/>
      <c r="L605" s="43"/>
      <c r="M605" s="44"/>
    </row>
    <row r="606">
      <c r="J606" s="43"/>
      <c r="K606" s="43"/>
      <c r="L606" s="43"/>
      <c r="M606" s="44"/>
    </row>
    <row r="607">
      <c r="J607" s="43"/>
      <c r="K607" s="43"/>
      <c r="L607" s="43"/>
      <c r="M607" s="44"/>
    </row>
    <row r="608">
      <c r="J608" s="43"/>
      <c r="K608" s="43"/>
      <c r="L608" s="43"/>
      <c r="M608" s="44"/>
    </row>
    <row r="609">
      <c r="J609" s="43"/>
      <c r="K609" s="43"/>
      <c r="L609" s="43"/>
      <c r="M609" s="44"/>
    </row>
    <row r="610">
      <c r="J610" s="43"/>
      <c r="K610" s="43"/>
      <c r="L610" s="43"/>
      <c r="M610" s="44"/>
    </row>
    <row r="611">
      <c r="J611" s="43"/>
      <c r="K611" s="43"/>
      <c r="L611" s="43"/>
      <c r="M611" s="44"/>
    </row>
    <row r="612">
      <c r="J612" s="43"/>
      <c r="K612" s="43"/>
      <c r="L612" s="43"/>
      <c r="M612" s="44"/>
    </row>
    <row r="613">
      <c r="J613" s="43"/>
      <c r="K613" s="43"/>
      <c r="L613" s="43"/>
      <c r="M613" s="44"/>
    </row>
    <row r="614">
      <c r="J614" s="43"/>
      <c r="K614" s="43"/>
      <c r="L614" s="43"/>
      <c r="M614" s="44"/>
    </row>
    <row r="615">
      <c r="J615" s="43"/>
      <c r="K615" s="43"/>
      <c r="L615" s="43"/>
      <c r="M615" s="44"/>
    </row>
    <row r="616">
      <c r="J616" s="43"/>
      <c r="K616" s="43"/>
      <c r="L616" s="43"/>
      <c r="M616" s="44"/>
    </row>
    <row r="617">
      <c r="J617" s="43"/>
      <c r="K617" s="43"/>
      <c r="L617" s="43"/>
      <c r="M617" s="44"/>
    </row>
    <row r="618">
      <c r="J618" s="43"/>
      <c r="K618" s="43"/>
      <c r="L618" s="43"/>
      <c r="M618" s="44"/>
    </row>
    <row r="619">
      <c r="J619" s="43"/>
      <c r="K619" s="43"/>
      <c r="L619" s="43"/>
      <c r="M619" s="44"/>
    </row>
    <row r="620">
      <c r="J620" s="43"/>
      <c r="K620" s="43"/>
      <c r="L620" s="43"/>
      <c r="M620" s="44"/>
    </row>
    <row r="621">
      <c r="J621" s="43"/>
      <c r="K621" s="43"/>
      <c r="L621" s="43"/>
      <c r="M621" s="44"/>
    </row>
    <row r="622">
      <c r="J622" s="43"/>
      <c r="K622" s="43"/>
      <c r="L622" s="43"/>
      <c r="M622" s="44"/>
    </row>
    <row r="623">
      <c r="J623" s="43"/>
      <c r="K623" s="43"/>
      <c r="L623" s="43"/>
      <c r="M623" s="44"/>
    </row>
    <row r="624">
      <c r="J624" s="43"/>
      <c r="K624" s="43"/>
      <c r="L624" s="43"/>
      <c r="M624" s="44"/>
    </row>
    <row r="625">
      <c r="J625" s="43"/>
      <c r="K625" s="43"/>
      <c r="L625" s="43"/>
      <c r="M625" s="44"/>
    </row>
    <row r="626">
      <c r="J626" s="43"/>
      <c r="K626" s="43"/>
      <c r="L626" s="43"/>
      <c r="M626" s="44"/>
    </row>
    <row r="627">
      <c r="J627" s="43"/>
      <c r="K627" s="43"/>
      <c r="L627" s="43"/>
      <c r="M627" s="44"/>
    </row>
    <row r="628">
      <c r="J628" s="43"/>
      <c r="K628" s="43"/>
      <c r="L628" s="43"/>
      <c r="M628" s="44"/>
    </row>
    <row r="629">
      <c r="J629" s="43"/>
      <c r="K629" s="43"/>
      <c r="L629" s="43"/>
      <c r="M629" s="44"/>
    </row>
    <row r="630">
      <c r="J630" s="43"/>
      <c r="K630" s="43"/>
      <c r="L630" s="43"/>
      <c r="M630" s="44"/>
    </row>
    <row r="631">
      <c r="J631" s="43"/>
      <c r="K631" s="43"/>
      <c r="L631" s="43"/>
      <c r="M631" s="44"/>
    </row>
    <row r="632">
      <c r="J632" s="43"/>
      <c r="K632" s="43"/>
      <c r="L632" s="43"/>
      <c r="M632" s="44"/>
    </row>
    <row r="633">
      <c r="J633" s="43"/>
      <c r="K633" s="43"/>
      <c r="L633" s="43"/>
      <c r="M633" s="44"/>
    </row>
    <row r="634">
      <c r="J634" s="43"/>
      <c r="K634" s="43"/>
      <c r="L634" s="43"/>
      <c r="M634" s="44"/>
    </row>
    <row r="635">
      <c r="J635" s="43"/>
      <c r="K635" s="43"/>
      <c r="L635" s="43"/>
      <c r="M635" s="44"/>
    </row>
    <row r="636">
      <c r="J636" s="43"/>
      <c r="K636" s="43"/>
      <c r="L636" s="43"/>
      <c r="M636" s="44"/>
    </row>
    <row r="637">
      <c r="J637" s="43"/>
      <c r="K637" s="43"/>
      <c r="L637" s="43"/>
      <c r="M637" s="44"/>
    </row>
    <row r="638">
      <c r="J638" s="43"/>
      <c r="K638" s="43"/>
      <c r="L638" s="43"/>
      <c r="M638" s="44"/>
    </row>
    <row r="639">
      <c r="J639" s="43"/>
      <c r="K639" s="43"/>
      <c r="L639" s="43"/>
      <c r="M639" s="44"/>
    </row>
    <row r="640">
      <c r="J640" s="43"/>
      <c r="K640" s="43"/>
      <c r="L640" s="43"/>
      <c r="M640" s="44"/>
    </row>
    <row r="641">
      <c r="J641" s="43"/>
      <c r="K641" s="43"/>
      <c r="L641" s="43"/>
      <c r="M641" s="44"/>
    </row>
    <row r="642">
      <c r="J642" s="43"/>
      <c r="K642" s="43"/>
      <c r="L642" s="43"/>
      <c r="M642" s="44"/>
    </row>
    <row r="643">
      <c r="J643" s="43"/>
      <c r="K643" s="43"/>
      <c r="L643" s="43"/>
      <c r="M643" s="44"/>
    </row>
    <row r="644">
      <c r="J644" s="43"/>
      <c r="K644" s="43"/>
      <c r="L644" s="43"/>
      <c r="M644" s="44"/>
    </row>
    <row r="645">
      <c r="J645" s="43"/>
      <c r="K645" s="43"/>
      <c r="L645" s="43"/>
      <c r="M645" s="44"/>
    </row>
    <row r="646">
      <c r="J646" s="43"/>
      <c r="K646" s="43"/>
      <c r="L646" s="43"/>
      <c r="M646" s="44"/>
    </row>
    <row r="647">
      <c r="J647" s="43"/>
      <c r="K647" s="43"/>
      <c r="L647" s="43"/>
      <c r="M647" s="44"/>
    </row>
    <row r="648">
      <c r="J648" s="43"/>
      <c r="K648" s="43"/>
      <c r="L648" s="43"/>
      <c r="M648" s="44"/>
    </row>
    <row r="649">
      <c r="J649" s="43"/>
      <c r="K649" s="43"/>
      <c r="L649" s="43"/>
      <c r="M649" s="44"/>
    </row>
    <row r="650">
      <c r="J650" s="43"/>
      <c r="K650" s="43"/>
      <c r="L650" s="43"/>
      <c r="M650" s="44"/>
    </row>
    <row r="651">
      <c r="J651" s="43"/>
      <c r="K651" s="43"/>
      <c r="L651" s="43"/>
      <c r="M651" s="44"/>
    </row>
    <row r="652">
      <c r="J652" s="43"/>
      <c r="K652" s="43"/>
      <c r="L652" s="43"/>
      <c r="M652" s="44"/>
    </row>
    <row r="653">
      <c r="J653" s="43"/>
      <c r="K653" s="43"/>
      <c r="L653" s="43"/>
      <c r="M653" s="44"/>
    </row>
    <row r="654">
      <c r="J654" s="43"/>
      <c r="K654" s="43"/>
      <c r="L654" s="43"/>
      <c r="M654" s="44"/>
    </row>
    <row r="655">
      <c r="J655" s="43"/>
      <c r="K655" s="43"/>
      <c r="L655" s="43"/>
      <c r="M655" s="44"/>
    </row>
    <row r="656">
      <c r="J656" s="43"/>
      <c r="K656" s="43"/>
      <c r="L656" s="43"/>
      <c r="M656" s="44"/>
    </row>
    <row r="657">
      <c r="J657" s="43"/>
      <c r="K657" s="43"/>
      <c r="L657" s="43"/>
      <c r="M657" s="44"/>
    </row>
    <row r="658">
      <c r="J658" s="43"/>
      <c r="K658" s="43"/>
      <c r="L658" s="43"/>
      <c r="M658" s="44"/>
    </row>
    <row r="659">
      <c r="J659" s="43"/>
      <c r="K659" s="43"/>
      <c r="L659" s="43"/>
      <c r="M659" s="44"/>
    </row>
    <row r="660">
      <c r="J660" s="43"/>
      <c r="K660" s="43"/>
      <c r="L660" s="43"/>
      <c r="M660" s="44"/>
    </row>
    <row r="661">
      <c r="J661" s="43"/>
      <c r="K661" s="43"/>
      <c r="L661" s="43"/>
      <c r="M661" s="44"/>
    </row>
    <row r="662">
      <c r="J662" s="43"/>
      <c r="K662" s="43"/>
      <c r="L662" s="43"/>
      <c r="M662" s="44"/>
    </row>
    <row r="663">
      <c r="J663" s="43"/>
      <c r="K663" s="43"/>
      <c r="L663" s="43"/>
      <c r="M663" s="44"/>
    </row>
    <row r="664">
      <c r="J664" s="43"/>
      <c r="K664" s="43"/>
      <c r="L664" s="43"/>
      <c r="M664" s="44"/>
    </row>
    <row r="665">
      <c r="J665" s="43"/>
      <c r="K665" s="43"/>
      <c r="L665" s="43"/>
      <c r="M665" s="44"/>
    </row>
    <row r="666">
      <c r="J666" s="43"/>
      <c r="K666" s="43"/>
      <c r="L666" s="43"/>
      <c r="M666" s="44"/>
    </row>
    <row r="667">
      <c r="J667" s="43"/>
      <c r="K667" s="43"/>
      <c r="L667" s="43"/>
      <c r="M667" s="44"/>
    </row>
    <row r="668">
      <c r="J668" s="43"/>
      <c r="K668" s="43"/>
      <c r="L668" s="43"/>
      <c r="M668" s="44"/>
    </row>
    <row r="669">
      <c r="J669" s="43"/>
      <c r="K669" s="43"/>
      <c r="L669" s="43"/>
      <c r="M669" s="44"/>
    </row>
    <row r="670">
      <c r="J670" s="43"/>
      <c r="K670" s="43"/>
      <c r="L670" s="43"/>
      <c r="M670" s="44"/>
    </row>
    <row r="671">
      <c r="J671" s="43"/>
      <c r="K671" s="43"/>
      <c r="L671" s="43"/>
      <c r="M671" s="44"/>
    </row>
    <row r="672">
      <c r="J672" s="43"/>
      <c r="K672" s="43"/>
      <c r="L672" s="43"/>
      <c r="M672" s="44"/>
    </row>
    <row r="673">
      <c r="J673" s="43"/>
      <c r="K673" s="43"/>
      <c r="L673" s="43"/>
      <c r="M673" s="44"/>
    </row>
    <row r="674">
      <c r="J674" s="43"/>
      <c r="K674" s="43"/>
      <c r="L674" s="43"/>
      <c r="M674" s="44"/>
    </row>
    <row r="675">
      <c r="J675" s="43"/>
      <c r="K675" s="43"/>
      <c r="L675" s="43"/>
      <c r="M675" s="44"/>
    </row>
    <row r="676">
      <c r="J676" s="43"/>
      <c r="K676" s="43"/>
      <c r="L676" s="43"/>
      <c r="M676" s="44"/>
    </row>
    <row r="677">
      <c r="J677" s="43"/>
      <c r="K677" s="43"/>
      <c r="L677" s="43"/>
      <c r="M677" s="44"/>
    </row>
    <row r="678">
      <c r="J678" s="43"/>
      <c r="K678" s="43"/>
      <c r="L678" s="43"/>
      <c r="M678" s="44"/>
    </row>
    <row r="679">
      <c r="J679" s="43"/>
      <c r="K679" s="43"/>
      <c r="L679" s="43"/>
      <c r="M679" s="44"/>
    </row>
    <row r="680">
      <c r="J680" s="43"/>
      <c r="K680" s="43"/>
      <c r="L680" s="43"/>
      <c r="M680" s="44"/>
    </row>
    <row r="681">
      <c r="J681" s="43"/>
      <c r="K681" s="43"/>
      <c r="L681" s="43"/>
      <c r="M681" s="44"/>
    </row>
    <row r="682">
      <c r="J682" s="43"/>
      <c r="K682" s="43"/>
      <c r="L682" s="43"/>
      <c r="M682" s="44"/>
    </row>
    <row r="683">
      <c r="J683" s="43"/>
      <c r="K683" s="43"/>
      <c r="L683" s="43"/>
      <c r="M683" s="44"/>
    </row>
    <row r="684">
      <c r="J684" s="43"/>
      <c r="K684" s="43"/>
      <c r="L684" s="43"/>
      <c r="M684" s="44"/>
    </row>
    <row r="685">
      <c r="J685" s="43"/>
      <c r="K685" s="43"/>
      <c r="L685" s="43"/>
      <c r="M685" s="44"/>
    </row>
    <row r="686">
      <c r="J686" s="43"/>
      <c r="K686" s="43"/>
      <c r="L686" s="43"/>
      <c r="M686" s="44"/>
    </row>
    <row r="687">
      <c r="J687" s="43"/>
      <c r="K687" s="43"/>
      <c r="L687" s="43"/>
      <c r="M687" s="44"/>
    </row>
    <row r="688">
      <c r="J688" s="43"/>
      <c r="K688" s="43"/>
      <c r="L688" s="43"/>
      <c r="M688" s="44"/>
    </row>
    <row r="689">
      <c r="J689" s="43"/>
      <c r="K689" s="43"/>
      <c r="L689" s="43"/>
      <c r="M689" s="44"/>
    </row>
    <row r="690">
      <c r="J690" s="43"/>
      <c r="K690" s="43"/>
      <c r="L690" s="43"/>
      <c r="M690" s="44"/>
    </row>
    <row r="691">
      <c r="J691" s="43"/>
      <c r="K691" s="43"/>
      <c r="L691" s="43"/>
      <c r="M691" s="44"/>
    </row>
    <row r="692">
      <c r="J692" s="43"/>
      <c r="K692" s="43"/>
      <c r="L692" s="43"/>
      <c r="M692" s="44"/>
    </row>
    <row r="693">
      <c r="J693" s="43"/>
      <c r="K693" s="43"/>
      <c r="L693" s="43"/>
      <c r="M693" s="44"/>
    </row>
    <row r="694">
      <c r="J694" s="43"/>
      <c r="K694" s="43"/>
      <c r="L694" s="43"/>
      <c r="M694" s="44"/>
    </row>
    <row r="695">
      <c r="J695" s="43"/>
      <c r="K695" s="43"/>
      <c r="L695" s="43"/>
      <c r="M695" s="44"/>
    </row>
    <row r="696">
      <c r="J696" s="43"/>
      <c r="K696" s="43"/>
      <c r="L696" s="43"/>
      <c r="M696" s="44"/>
    </row>
    <row r="697">
      <c r="J697" s="43"/>
      <c r="K697" s="43"/>
      <c r="L697" s="43"/>
      <c r="M697" s="44"/>
    </row>
    <row r="698">
      <c r="J698" s="43"/>
      <c r="K698" s="43"/>
      <c r="L698" s="43"/>
      <c r="M698" s="44"/>
    </row>
    <row r="699">
      <c r="J699" s="43"/>
      <c r="K699" s="43"/>
      <c r="L699" s="43"/>
      <c r="M699" s="44"/>
    </row>
    <row r="700">
      <c r="J700" s="43"/>
      <c r="K700" s="43"/>
      <c r="L700" s="43"/>
      <c r="M700" s="44"/>
    </row>
    <row r="701">
      <c r="J701" s="43"/>
      <c r="K701" s="43"/>
      <c r="L701" s="43"/>
      <c r="M701" s="44"/>
    </row>
    <row r="702">
      <c r="J702" s="43"/>
      <c r="K702" s="43"/>
      <c r="L702" s="43"/>
      <c r="M702" s="44"/>
    </row>
    <row r="703">
      <c r="J703" s="43"/>
      <c r="K703" s="43"/>
      <c r="L703" s="43"/>
      <c r="M703" s="44"/>
    </row>
    <row r="704">
      <c r="J704" s="43"/>
      <c r="K704" s="43"/>
      <c r="L704" s="43"/>
      <c r="M704" s="44"/>
    </row>
    <row r="705">
      <c r="J705" s="43"/>
      <c r="K705" s="43"/>
      <c r="L705" s="43"/>
      <c r="M705" s="44"/>
    </row>
    <row r="706">
      <c r="J706" s="43"/>
      <c r="K706" s="43"/>
      <c r="L706" s="43"/>
      <c r="M706" s="44"/>
    </row>
    <row r="707">
      <c r="J707" s="43"/>
      <c r="K707" s="43"/>
      <c r="L707" s="43"/>
      <c r="M707" s="44"/>
    </row>
    <row r="708">
      <c r="J708" s="43"/>
      <c r="K708" s="43"/>
      <c r="L708" s="43"/>
      <c r="M708" s="44"/>
    </row>
    <row r="709">
      <c r="J709" s="43"/>
      <c r="K709" s="43"/>
      <c r="L709" s="43"/>
      <c r="M709" s="44"/>
    </row>
    <row r="710">
      <c r="J710" s="43"/>
      <c r="K710" s="43"/>
      <c r="L710" s="43"/>
      <c r="M710" s="44"/>
    </row>
    <row r="711">
      <c r="J711" s="43"/>
      <c r="K711" s="43"/>
      <c r="L711" s="43"/>
      <c r="M711" s="44"/>
    </row>
    <row r="712">
      <c r="J712" s="43"/>
      <c r="K712" s="43"/>
      <c r="L712" s="43"/>
      <c r="M712" s="44"/>
    </row>
    <row r="713">
      <c r="J713" s="43"/>
      <c r="K713" s="43"/>
      <c r="L713" s="43"/>
      <c r="M713" s="44"/>
    </row>
    <row r="714">
      <c r="J714" s="43"/>
      <c r="K714" s="43"/>
      <c r="L714" s="43"/>
      <c r="M714" s="44"/>
    </row>
    <row r="715">
      <c r="J715" s="43"/>
      <c r="K715" s="43"/>
      <c r="L715" s="43"/>
      <c r="M715" s="44"/>
    </row>
    <row r="716">
      <c r="J716" s="43"/>
      <c r="K716" s="43"/>
      <c r="L716" s="43"/>
      <c r="M716" s="44"/>
    </row>
    <row r="717">
      <c r="J717" s="43"/>
      <c r="K717" s="43"/>
      <c r="L717" s="43"/>
      <c r="M717" s="44"/>
    </row>
    <row r="718">
      <c r="J718" s="43"/>
      <c r="K718" s="43"/>
      <c r="L718" s="43"/>
      <c r="M718" s="44"/>
    </row>
    <row r="719">
      <c r="J719" s="43"/>
      <c r="K719" s="43"/>
      <c r="L719" s="43"/>
      <c r="M719" s="44"/>
    </row>
    <row r="720">
      <c r="J720" s="43"/>
      <c r="K720" s="43"/>
      <c r="L720" s="43"/>
      <c r="M720" s="44"/>
    </row>
    <row r="721">
      <c r="J721" s="43"/>
      <c r="K721" s="43"/>
      <c r="L721" s="43"/>
      <c r="M721" s="44"/>
    </row>
    <row r="722">
      <c r="J722" s="43"/>
      <c r="K722" s="43"/>
      <c r="L722" s="43"/>
      <c r="M722" s="44"/>
    </row>
    <row r="723">
      <c r="J723" s="43"/>
      <c r="K723" s="43"/>
      <c r="L723" s="43"/>
      <c r="M723" s="44"/>
    </row>
    <row r="724">
      <c r="J724" s="43"/>
      <c r="K724" s="43"/>
      <c r="L724" s="43"/>
      <c r="M724" s="44"/>
    </row>
    <row r="725">
      <c r="J725" s="43"/>
      <c r="K725" s="43"/>
      <c r="L725" s="43"/>
      <c r="M725" s="44"/>
    </row>
    <row r="726">
      <c r="J726" s="43"/>
      <c r="K726" s="43"/>
      <c r="L726" s="43"/>
      <c r="M726" s="44"/>
    </row>
    <row r="727">
      <c r="J727" s="43"/>
      <c r="K727" s="43"/>
      <c r="L727" s="43"/>
      <c r="M727" s="44"/>
    </row>
    <row r="728">
      <c r="J728" s="43"/>
      <c r="K728" s="43"/>
      <c r="L728" s="43"/>
      <c r="M728" s="44"/>
    </row>
    <row r="729">
      <c r="J729" s="43"/>
      <c r="K729" s="43"/>
      <c r="L729" s="43"/>
      <c r="M729" s="44"/>
    </row>
    <row r="730">
      <c r="J730" s="43"/>
      <c r="K730" s="43"/>
      <c r="L730" s="43"/>
      <c r="M730" s="44"/>
    </row>
    <row r="731">
      <c r="J731" s="43"/>
      <c r="K731" s="43"/>
      <c r="L731" s="43"/>
      <c r="M731" s="44"/>
    </row>
    <row r="732">
      <c r="J732" s="43"/>
      <c r="K732" s="43"/>
      <c r="L732" s="43"/>
      <c r="M732" s="44"/>
    </row>
    <row r="733">
      <c r="J733" s="43"/>
      <c r="K733" s="43"/>
      <c r="L733" s="43"/>
      <c r="M733" s="44"/>
    </row>
    <row r="734">
      <c r="J734" s="43"/>
      <c r="K734" s="43"/>
      <c r="L734" s="43"/>
      <c r="M734" s="44"/>
    </row>
    <row r="735">
      <c r="J735" s="43"/>
      <c r="K735" s="43"/>
      <c r="L735" s="43"/>
      <c r="M735" s="44"/>
    </row>
    <row r="736">
      <c r="J736" s="43"/>
      <c r="K736" s="43"/>
      <c r="L736" s="43"/>
      <c r="M736" s="44"/>
    </row>
    <row r="737">
      <c r="J737" s="43"/>
      <c r="K737" s="43"/>
      <c r="L737" s="43"/>
      <c r="M737" s="44"/>
    </row>
    <row r="738">
      <c r="J738" s="43"/>
      <c r="K738" s="43"/>
      <c r="L738" s="43"/>
      <c r="M738" s="44"/>
    </row>
    <row r="739">
      <c r="J739" s="43"/>
      <c r="K739" s="43"/>
      <c r="L739" s="43"/>
      <c r="M739" s="44"/>
    </row>
    <row r="740">
      <c r="J740" s="43"/>
      <c r="K740" s="43"/>
      <c r="L740" s="43"/>
      <c r="M740" s="44"/>
    </row>
    <row r="741">
      <c r="J741" s="43"/>
      <c r="K741" s="43"/>
      <c r="L741" s="43"/>
      <c r="M741" s="44"/>
    </row>
    <row r="742">
      <c r="J742" s="43"/>
      <c r="K742" s="43"/>
      <c r="L742" s="43"/>
      <c r="M742" s="44"/>
    </row>
    <row r="743">
      <c r="J743" s="43"/>
      <c r="K743" s="43"/>
      <c r="L743" s="43"/>
      <c r="M743" s="44"/>
    </row>
    <row r="744">
      <c r="J744" s="43"/>
      <c r="K744" s="43"/>
      <c r="L744" s="43"/>
      <c r="M744" s="44"/>
    </row>
    <row r="745">
      <c r="J745" s="43"/>
      <c r="K745" s="43"/>
      <c r="L745" s="43"/>
      <c r="M745" s="44"/>
    </row>
    <row r="746">
      <c r="J746" s="43"/>
      <c r="K746" s="43"/>
      <c r="L746" s="43"/>
      <c r="M746" s="44"/>
    </row>
    <row r="747">
      <c r="J747" s="43"/>
      <c r="K747" s="43"/>
      <c r="L747" s="43"/>
      <c r="M747" s="44"/>
    </row>
    <row r="748">
      <c r="J748" s="43"/>
      <c r="K748" s="43"/>
      <c r="L748" s="43"/>
      <c r="M748" s="44"/>
    </row>
    <row r="749">
      <c r="J749" s="43"/>
      <c r="K749" s="43"/>
      <c r="L749" s="43"/>
      <c r="M749" s="44"/>
    </row>
    <row r="750">
      <c r="J750" s="43"/>
      <c r="K750" s="43"/>
      <c r="L750" s="43"/>
      <c r="M750" s="44"/>
    </row>
    <row r="751">
      <c r="J751" s="43"/>
      <c r="K751" s="43"/>
      <c r="L751" s="43"/>
      <c r="M751" s="44"/>
    </row>
    <row r="752">
      <c r="J752" s="43"/>
      <c r="K752" s="43"/>
      <c r="L752" s="43"/>
      <c r="M752" s="44"/>
    </row>
    <row r="753">
      <c r="J753" s="43"/>
      <c r="K753" s="43"/>
      <c r="L753" s="43"/>
      <c r="M753" s="44"/>
    </row>
    <row r="754">
      <c r="J754" s="43"/>
      <c r="K754" s="43"/>
      <c r="L754" s="43"/>
      <c r="M754" s="44"/>
    </row>
    <row r="755">
      <c r="J755" s="43"/>
      <c r="K755" s="43"/>
      <c r="L755" s="43"/>
      <c r="M755" s="44"/>
    </row>
    <row r="756">
      <c r="J756" s="43"/>
      <c r="K756" s="43"/>
      <c r="L756" s="43"/>
      <c r="M756" s="44"/>
    </row>
    <row r="757">
      <c r="J757" s="43"/>
      <c r="K757" s="43"/>
      <c r="L757" s="43"/>
      <c r="M757" s="44"/>
    </row>
    <row r="758">
      <c r="J758" s="43"/>
      <c r="K758" s="43"/>
      <c r="L758" s="43"/>
      <c r="M758" s="44"/>
    </row>
    <row r="759">
      <c r="J759" s="43"/>
      <c r="K759" s="43"/>
      <c r="L759" s="43"/>
      <c r="M759" s="44"/>
    </row>
    <row r="760">
      <c r="J760" s="43"/>
      <c r="K760" s="43"/>
      <c r="L760" s="43"/>
      <c r="M760" s="44"/>
    </row>
    <row r="761">
      <c r="J761" s="43"/>
      <c r="K761" s="43"/>
      <c r="L761" s="43"/>
      <c r="M761" s="44"/>
    </row>
    <row r="762">
      <c r="J762" s="43"/>
      <c r="K762" s="43"/>
      <c r="L762" s="43"/>
      <c r="M762" s="44"/>
    </row>
    <row r="763">
      <c r="J763" s="43"/>
      <c r="K763" s="43"/>
      <c r="L763" s="43"/>
      <c r="M763" s="44"/>
    </row>
    <row r="764">
      <c r="J764" s="43"/>
      <c r="K764" s="43"/>
      <c r="L764" s="43"/>
      <c r="M764" s="44"/>
    </row>
    <row r="765">
      <c r="J765" s="43"/>
      <c r="K765" s="43"/>
      <c r="L765" s="43"/>
      <c r="M765" s="44"/>
    </row>
    <row r="766">
      <c r="J766" s="43"/>
      <c r="K766" s="43"/>
      <c r="L766" s="43"/>
      <c r="M766" s="44"/>
    </row>
    <row r="767">
      <c r="J767" s="43"/>
      <c r="K767" s="43"/>
      <c r="L767" s="43"/>
      <c r="M767" s="44"/>
    </row>
    <row r="768">
      <c r="J768" s="43"/>
      <c r="K768" s="43"/>
      <c r="L768" s="43"/>
      <c r="M768" s="44"/>
    </row>
    <row r="769">
      <c r="J769" s="43"/>
      <c r="K769" s="43"/>
      <c r="L769" s="43"/>
      <c r="M769" s="44"/>
    </row>
    <row r="770">
      <c r="J770" s="43"/>
      <c r="K770" s="43"/>
      <c r="L770" s="43"/>
      <c r="M770" s="44"/>
    </row>
    <row r="771">
      <c r="J771" s="43"/>
      <c r="K771" s="43"/>
      <c r="L771" s="43"/>
      <c r="M771" s="44"/>
    </row>
    <row r="772">
      <c r="J772" s="43"/>
      <c r="K772" s="43"/>
      <c r="L772" s="43"/>
      <c r="M772" s="44"/>
    </row>
    <row r="773">
      <c r="J773" s="43"/>
      <c r="K773" s="43"/>
      <c r="L773" s="43"/>
      <c r="M773" s="44"/>
    </row>
    <row r="774">
      <c r="J774" s="43"/>
      <c r="K774" s="43"/>
      <c r="L774" s="43"/>
      <c r="M774" s="44"/>
    </row>
    <row r="775">
      <c r="J775" s="43"/>
      <c r="K775" s="43"/>
      <c r="L775" s="43"/>
      <c r="M775" s="44"/>
    </row>
    <row r="776">
      <c r="J776" s="43"/>
      <c r="K776" s="43"/>
      <c r="L776" s="43"/>
      <c r="M776" s="44"/>
    </row>
    <row r="777">
      <c r="J777" s="43"/>
      <c r="K777" s="43"/>
      <c r="L777" s="43"/>
      <c r="M777" s="44"/>
    </row>
    <row r="778">
      <c r="J778" s="43"/>
      <c r="K778" s="43"/>
      <c r="L778" s="43"/>
      <c r="M778" s="44"/>
    </row>
    <row r="779">
      <c r="J779" s="43"/>
      <c r="K779" s="43"/>
      <c r="L779" s="43"/>
      <c r="M779" s="44"/>
    </row>
    <row r="780">
      <c r="J780" s="43"/>
      <c r="K780" s="43"/>
      <c r="L780" s="43"/>
      <c r="M780" s="44"/>
    </row>
    <row r="781">
      <c r="J781" s="43"/>
      <c r="K781" s="43"/>
      <c r="L781" s="43"/>
      <c r="M781" s="44"/>
    </row>
    <row r="782">
      <c r="J782" s="43"/>
      <c r="K782" s="43"/>
      <c r="L782" s="43"/>
      <c r="M782" s="44"/>
    </row>
    <row r="783">
      <c r="J783" s="43"/>
      <c r="K783" s="43"/>
      <c r="L783" s="43"/>
      <c r="M783" s="44"/>
    </row>
    <row r="784">
      <c r="J784" s="43"/>
      <c r="K784" s="43"/>
      <c r="L784" s="43"/>
      <c r="M784" s="44"/>
    </row>
    <row r="785">
      <c r="J785" s="43"/>
      <c r="K785" s="43"/>
      <c r="L785" s="43"/>
      <c r="M785" s="44"/>
    </row>
    <row r="786">
      <c r="J786" s="43"/>
      <c r="K786" s="43"/>
      <c r="L786" s="43"/>
      <c r="M786" s="44"/>
    </row>
    <row r="787">
      <c r="J787" s="43"/>
      <c r="K787" s="43"/>
      <c r="L787" s="43"/>
      <c r="M787" s="44"/>
    </row>
    <row r="788">
      <c r="J788" s="43"/>
      <c r="K788" s="43"/>
      <c r="L788" s="43"/>
      <c r="M788" s="44"/>
    </row>
    <row r="789">
      <c r="J789" s="43"/>
      <c r="K789" s="43"/>
      <c r="L789" s="43"/>
      <c r="M789" s="44"/>
    </row>
    <row r="790">
      <c r="J790" s="43"/>
      <c r="K790" s="43"/>
      <c r="L790" s="43"/>
      <c r="M790" s="44"/>
    </row>
    <row r="791">
      <c r="J791" s="43"/>
      <c r="K791" s="43"/>
      <c r="L791" s="43"/>
      <c r="M791" s="44"/>
    </row>
    <row r="792">
      <c r="J792" s="43"/>
      <c r="K792" s="43"/>
      <c r="L792" s="43"/>
      <c r="M792" s="44"/>
    </row>
    <row r="793">
      <c r="J793" s="43"/>
      <c r="K793" s="43"/>
      <c r="L793" s="43"/>
      <c r="M793" s="44"/>
    </row>
    <row r="794">
      <c r="J794" s="43"/>
      <c r="K794" s="43"/>
      <c r="L794" s="43"/>
      <c r="M794" s="44"/>
    </row>
    <row r="795">
      <c r="J795" s="43"/>
      <c r="K795" s="43"/>
      <c r="L795" s="43"/>
      <c r="M795" s="44"/>
    </row>
    <row r="796">
      <c r="J796" s="43"/>
      <c r="K796" s="43"/>
      <c r="L796" s="43"/>
      <c r="M796" s="44"/>
    </row>
    <row r="797">
      <c r="J797" s="43"/>
      <c r="K797" s="43"/>
      <c r="L797" s="43"/>
      <c r="M797" s="44"/>
    </row>
    <row r="798">
      <c r="J798" s="43"/>
      <c r="K798" s="43"/>
      <c r="L798" s="43"/>
      <c r="M798" s="44"/>
    </row>
    <row r="799">
      <c r="J799" s="43"/>
      <c r="K799" s="43"/>
      <c r="L799" s="43"/>
      <c r="M799" s="44"/>
    </row>
    <row r="800">
      <c r="J800" s="43"/>
      <c r="K800" s="43"/>
      <c r="L800" s="43"/>
      <c r="M800" s="44"/>
    </row>
    <row r="801">
      <c r="J801" s="43"/>
      <c r="K801" s="43"/>
      <c r="L801" s="43"/>
      <c r="M801" s="44"/>
    </row>
    <row r="802">
      <c r="J802" s="43"/>
      <c r="K802" s="43"/>
      <c r="L802" s="43"/>
      <c r="M802" s="44"/>
    </row>
    <row r="803">
      <c r="J803" s="43"/>
      <c r="K803" s="43"/>
      <c r="L803" s="43"/>
      <c r="M803" s="44"/>
    </row>
    <row r="804">
      <c r="J804" s="43"/>
      <c r="K804" s="43"/>
      <c r="L804" s="43"/>
      <c r="M804" s="44"/>
    </row>
    <row r="805">
      <c r="J805" s="43"/>
      <c r="K805" s="43"/>
      <c r="L805" s="43"/>
      <c r="M805" s="44"/>
    </row>
    <row r="806">
      <c r="J806" s="43"/>
      <c r="K806" s="43"/>
      <c r="L806" s="43"/>
      <c r="M806" s="44"/>
    </row>
    <row r="807">
      <c r="J807" s="43"/>
      <c r="K807" s="43"/>
      <c r="L807" s="43"/>
      <c r="M807" s="44"/>
    </row>
    <row r="808">
      <c r="J808" s="43"/>
      <c r="K808" s="43"/>
      <c r="L808" s="43"/>
      <c r="M808" s="44"/>
    </row>
    <row r="809">
      <c r="J809" s="43"/>
      <c r="K809" s="43"/>
      <c r="L809" s="43"/>
      <c r="M809" s="44"/>
    </row>
    <row r="810">
      <c r="J810" s="43"/>
      <c r="K810" s="43"/>
      <c r="L810" s="43"/>
      <c r="M810" s="44"/>
    </row>
    <row r="811">
      <c r="J811" s="43"/>
      <c r="K811" s="43"/>
      <c r="L811" s="43"/>
      <c r="M811" s="44"/>
    </row>
    <row r="812">
      <c r="J812" s="43"/>
      <c r="K812" s="43"/>
      <c r="L812" s="43"/>
      <c r="M812" s="44"/>
    </row>
    <row r="813">
      <c r="J813" s="43"/>
      <c r="K813" s="43"/>
      <c r="L813" s="43"/>
      <c r="M813" s="44"/>
    </row>
    <row r="814">
      <c r="J814" s="43"/>
      <c r="K814" s="43"/>
      <c r="L814" s="43"/>
      <c r="M814" s="44"/>
    </row>
    <row r="815">
      <c r="J815" s="43"/>
      <c r="K815" s="43"/>
      <c r="L815" s="43"/>
      <c r="M815" s="44"/>
    </row>
    <row r="816">
      <c r="J816" s="43"/>
      <c r="K816" s="43"/>
      <c r="L816" s="43"/>
      <c r="M816" s="44"/>
    </row>
    <row r="817">
      <c r="J817" s="43"/>
      <c r="K817" s="43"/>
      <c r="L817" s="43"/>
      <c r="M817" s="44"/>
    </row>
    <row r="818">
      <c r="J818" s="43"/>
      <c r="K818" s="43"/>
      <c r="L818" s="43"/>
      <c r="M818" s="44"/>
    </row>
    <row r="819">
      <c r="J819" s="43"/>
      <c r="K819" s="43"/>
      <c r="L819" s="43"/>
      <c r="M819" s="44"/>
    </row>
    <row r="820">
      <c r="J820" s="43"/>
      <c r="K820" s="43"/>
      <c r="L820" s="43"/>
      <c r="M820" s="44"/>
    </row>
    <row r="821">
      <c r="J821" s="43"/>
      <c r="K821" s="43"/>
      <c r="L821" s="43"/>
      <c r="M821" s="44"/>
    </row>
    <row r="822">
      <c r="J822" s="43"/>
      <c r="K822" s="43"/>
      <c r="L822" s="43"/>
      <c r="M822" s="44"/>
    </row>
    <row r="823">
      <c r="J823" s="43"/>
      <c r="K823" s="43"/>
      <c r="L823" s="43"/>
      <c r="M823" s="44"/>
    </row>
    <row r="824">
      <c r="J824" s="43"/>
      <c r="K824" s="43"/>
      <c r="L824" s="43"/>
      <c r="M824" s="44"/>
    </row>
    <row r="825">
      <c r="J825" s="43"/>
      <c r="K825" s="43"/>
      <c r="L825" s="43"/>
      <c r="M825" s="44"/>
    </row>
    <row r="826">
      <c r="J826" s="43"/>
      <c r="K826" s="43"/>
      <c r="L826" s="43"/>
      <c r="M826" s="44"/>
    </row>
    <row r="827">
      <c r="J827" s="43"/>
      <c r="K827" s="43"/>
      <c r="L827" s="43"/>
      <c r="M827" s="44"/>
    </row>
    <row r="828">
      <c r="J828" s="43"/>
      <c r="K828" s="43"/>
      <c r="L828" s="43"/>
      <c r="M828" s="44"/>
    </row>
    <row r="829">
      <c r="J829" s="43"/>
      <c r="K829" s="43"/>
      <c r="L829" s="43"/>
      <c r="M829" s="44"/>
    </row>
    <row r="830">
      <c r="J830" s="43"/>
      <c r="K830" s="43"/>
      <c r="L830" s="43"/>
      <c r="M830" s="44"/>
    </row>
    <row r="831">
      <c r="J831" s="43"/>
      <c r="K831" s="43"/>
      <c r="L831" s="43"/>
      <c r="M831" s="44"/>
    </row>
    <row r="832">
      <c r="J832" s="43"/>
      <c r="K832" s="43"/>
      <c r="L832" s="43"/>
      <c r="M832" s="44"/>
    </row>
    <row r="833">
      <c r="J833" s="43"/>
      <c r="K833" s="43"/>
      <c r="L833" s="43"/>
      <c r="M833" s="44"/>
    </row>
    <row r="834">
      <c r="J834" s="43"/>
      <c r="K834" s="43"/>
      <c r="L834" s="43"/>
      <c r="M834" s="44"/>
    </row>
    <row r="835">
      <c r="J835" s="43"/>
      <c r="K835" s="43"/>
      <c r="L835" s="43"/>
      <c r="M835" s="44"/>
    </row>
    <row r="836">
      <c r="J836" s="43"/>
      <c r="K836" s="43"/>
      <c r="L836" s="43"/>
      <c r="M836" s="44"/>
    </row>
    <row r="837">
      <c r="J837" s="43"/>
      <c r="K837" s="43"/>
      <c r="L837" s="43"/>
      <c r="M837" s="44"/>
    </row>
    <row r="838">
      <c r="J838" s="43"/>
      <c r="K838" s="43"/>
      <c r="L838" s="43"/>
      <c r="M838" s="44"/>
    </row>
    <row r="839">
      <c r="J839" s="43"/>
      <c r="K839" s="43"/>
      <c r="L839" s="43"/>
      <c r="M839" s="44"/>
    </row>
    <row r="840">
      <c r="J840" s="43"/>
      <c r="K840" s="43"/>
      <c r="L840" s="43"/>
      <c r="M840" s="44"/>
    </row>
    <row r="841">
      <c r="J841" s="43"/>
      <c r="K841" s="43"/>
      <c r="L841" s="43"/>
      <c r="M841" s="44"/>
    </row>
    <row r="842">
      <c r="J842" s="43"/>
      <c r="K842" s="43"/>
      <c r="L842" s="43"/>
      <c r="M842" s="44"/>
    </row>
    <row r="843">
      <c r="J843" s="43"/>
      <c r="K843" s="43"/>
      <c r="L843" s="43"/>
      <c r="M843" s="44"/>
    </row>
    <row r="844">
      <c r="J844" s="43"/>
      <c r="K844" s="43"/>
      <c r="L844" s="43"/>
      <c r="M844" s="44"/>
    </row>
    <row r="845">
      <c r="J845" s="43"/>
      <c r="K845" s="43"/>
      <c r="L845" s="43"/>
      <c r="M845" s="44"/>
    </row>
    <row r="846">
      <c r="J846" s="43"/>
      <c r="K846" s="43"/>
      <c r="L846" s="43"/>
      <c r="M846" s="44"/>
    </row>
    <row r="847">
      <c r="J847" s="43"/>
      <c r="K847" s="43"/>
      <c r="L847" s="43"/>
      <c r="M847" s="44"/>
    </row>
    <row r="848">
      <c r="J848" s="43"/>
      <c r="K848" s="43"/>
      <c r="L848" s="43"/>
      <c r="M848" s="44"/>
    </row>
    <row r="849">
      <c r="J849" s="43"/>
      <c r="K849" s="43"/>
      <c r="L849" s="43"/>
      <c r="M849" s="44"/>
    </row>
    <row r="850">
      <c r="J850" s="43"/>
      <c r="K850" s="43"/>
      <c r="L850" s="43"/>
      <c r="M850" s="44"/>
    </row>
    <row r="851">
      <c r="J851" s="43"/>
      <c r="K851" s="43"/>
      <c r="L851" s="43"/>
      <c r="M851" s="44"/>
    </row>
    <row r="852">
      <c r="J852" s="43"/>
      <c r="K852" s="43"/>
      <c r="L852" s="43"/>
      <c r="M852" s="44"/>
    </row>
    <row r="853">
      <c r="J853" s="43"/>
      <c r="K853" s="43"/>
      <c r="L853" s="43"/>
      <c r="M853" s="44"/>
    </row>
    <row r="854">
      <c r="J854" s="43"/>
      <c r="K854" s="43"/>
      <c r="L854" s="43"/>
      <c r="M854" s="44"/>
    </row>
    <row r="855">
      <c r="J855" s="43"/>
      <c r="K855" s="43"/>
      <c r="L855" s="43"/>
      <c r="M855" s="44"/>
    </row>
    <row r="856">
      <c r="J856" s="43"/>
      <c r="K856" s="43"/>
      <c r="L856" s="43"/>
      <c r="M856" s="44"/>
    </row>
    <row r="857">
      <c r="J857" s="43"/>
      <c r="K857" s="43"/>
      <c r="L857" s="43"/>
      <c r="M857" s="44"/>
    </row>
    <row r="858">
      <c r="J858" s="43"/>
      <c r="K858" s="43"/>
      <c r="L858" s="43"/>
      <c r="M858" s="44"/>
    </row>
    <row r="859">
      <c r="J859" s="43"/>
      <c r="K859" s="43"/>
      <c r="L859" s="43"/>
      <c r="M859" s="44"/>
    </row>
    <row r="860">
      <c r="J860" s="43"/>
      <c r="K860" s="43"/>
      <c r="L860" s="43"/>
      <c r="M860" s="44"/>
    </row>
    <row r="861">
      <c r="J861" s="43"/>
      <c r="K861" s="43"/>
      <c r="L861" s="43"/>
      <c r="M861" s="44"/>
    </row>
    <row r="862">
      <c r="J862" s="43"/>
      <c r="K862" s="43"/>
      <c r="L862" s="43"/>
      <c r="M862" s="44"/>
    </row>
    <row r="863">
      <c r="J863" s="43"/>
      <c r="K863" s="43"/>
      <c r="L863" s="43"/>
      <c r="M863" s="44"/>
    </row>
    <row r="864">
      <c r="J864" s="43"/>
      <c r="K864" s="43"/>
      <c r="L864" s="43"/>
      <c r="M864" s="44"/>
    </row>
    <row r="865">
      <c r="J865" s="43"/>
      <c r="K865" s="43"/>
      <c r="L865" s="43"/>
      <c r="M865" s="44"/>
    </row>
    <row r="866">
      <c r="J866" s="43"/>
      <c r="K866" s="43"/>
      <c r="L866" s="43"/>
      <c r="M866" s="44"/>
    </row>
    <row r="867">
      <c r="J867" s="43"/>
      <c r="K867" s="43"/>
      <c r="L867" s="43"/>
      <c r="M867" s="44"/>
    </row>
    <row r="868">
      <c r="J868" s="43"/>
      <c r="K868" s="43"/>
      <c r="L868" s="43"/>
      <c r="M868" s="44"/>
    </row>
    <row r="869">
      <c r="J869" s="43"/>
      <c r="K869" s="43"/>
      <c r="L869" s="43"/>
      <c r="M869" s="44"/>
    </row>
    <row r="870">
      <c r="J870" s="43"/>
      <c r="K870" s="43"/>
      <c r="L870" s="43"/>
      <c r="M870" s="44"/>
    </row>
    <row r="871">
      <c r="J871" s="43"/>
      <c r="K871" s="43"/>
      <c r="L871" s="43"/>
      <c r="M871" s="44"/>
    </row>
    <row r="872">
      <c r="J872" s="43"/>
      <c r="K872" s="43"/>
      <c r="L872" s="43"/>
      <c r="M872" s="44"/>
    </row>
    <row r="873">
      <c r="J873" s="43"/>
      <c r="K873" s="43"/>
      <c r="L873" s="43"/>
      <c r="M873" s="44"/>
    </row>
    <row r="874">
      <c r="J874" s="43"/>
      <c r="K874" s="43"/>
      <c r="L874" s="43"/>
      <c r="M874" s="44"/>
    </row>
    <row r="875">
      <c r="J875" s="43"/>
      <c r="K875" s="43"/>
      <c r="L875" s="43"/>
      <c r="M875" s="44"/>
    </row>
    <row r="876">
      <c r="J876" s="43"/>
      <c r="K876" s="43"/>
      <c r="L876" s="43"/>
      <c r="M876" s="44"/>
    </row>
    <row r="877">
      <c r="J877" s="43"/>
      <c r="K877" s="43"/>
      <c r="L877" s="43"/>
      <c r="M877" s="44"/>
    </row>
    <row r="878">
      <c r="J878" s="43"/>
      <c r="K878" s="43"/>
      <c r="L878" s="43"/>
      <c r="M878" s="44"/>
    </row>
    <row r="879">
      <c r="J879" s="43"/>
      <c r="K879" s="43"/>
      <c r="L879" s="43"/>
      <c r="M879" s="44"/>
    </row>
    <row r="880">
      <c r="J880" s="43"/>
      <c r="K880" s="43"/>
      <c r="L880" s="43"/>
      <c r="M880" s="44"/>
    </row>
    <row r="881">
      <c r="J881" s="43"/>
      <c r="K881" s="43"/>
      <c r="L881" s="43"/>
      <c r="M881" s="44"/>
    </row>
    <row r="882">
      <c r="J882" s="43"/>
      <c r="K882" s="43"/>
      <c r="L882" s="43"/>
      <c r="M882" s="44"/>
    </row>
    <row r="883">
      <c r="J883" s="43"/>
      <c r="K883" s="43"/>
      <c r="L883" s="43"/>
      <c r="M883" s="44"/>
    </row>
    <row r="884">
      <c r="J884" s="43"/>
      <c r="K884" s="43"/>
      <c r="L884" s="43"/>
      <c r="M884" s="44"/>
    </row>
    <row r="885">
      <c r="J885" s="43"/>
      <c r="K885" s="43"/>
      <c r="L885" s="43"/>
      <c r="M885" s="44"/>
    </row>
    <row r="886">
      <c r="J886" s="43"/>
      <c r="K886" s="43"/>
      <c r="L886" s="43"/>
      <c r="M886" s="44"/>
    </row>
    <row r="887">
      <c r="J887" s="43"/>
      <c r="K887" s="43"/>
      <c r="L887" s="43"/>
      <c r="M887" s="44"/>
    </row>
    <row r="888">
      <c r="J888" s="43"/>
      <c r="K888" s="43"/>
      <c r="L888" s="43"/>
      <c r="M888" s="44"/>
    </row>
    <row r="889">
      <c r="J889" s="43"/>
      <c r="K889" s="43"/>
      <c r="L889" s="43"/>
      <c r="M889" s="44"/>
    </row>
    <row r="890">
      <c r="J890" s="43"/>
      <c r="K890" s="43"/>
      <c r="L890" s="43"/>
      <c r="M890" s="44"/>
    </row>
    <row r="891">
      <c r="J891" s="43"/>
      <c r="K891" s="43"/>
      <c r="L891" s="43"/>
      <c r="M891" s="44"/>
    </row>
    <row r="892">
      <c r="J892" s="43"/>
      <c r="K892" s="43"/>
      <c r="L892" s="43"/>
      <c r="M892" s="44"/>
    </row>
    <row r="893">
      <c r="J893" s="43"/>
      <c r="K893" s="43"/>
      <c r="L893" s="43"/>
      <c r="M893" s="44"/>
    </row>
    <row r="894">
      <c r="J894" s="43"/>
      <c r="K894" s="43"/>
      <c r="L894" s="43"/>
      <c r="M894" s="44"/>
    </row>
    <row r="895">
      <c r="J895" s="43"/>
      <c r="K895" s="43"/>
      <c r="L895" s="43"/>
      <c r="M895" s="44"/>
    </row>
    <row r="896">
      <c r="J896" s="43"/>
      <c r="K896" s="43"/>
      <c r="L896" s="43"/>
      <c r="M896" s="44"/>
    </row>
    <row r="897">
      <c r="J897" s="43"/>
      <c r="K897" s="43"/>
      <c r="L897" s="43"/>
      <c r="M897" s="44"/>
    </row>
    <row r="898">
      <c r="J898" s="43"/>
      <c r="K898" s="43"/>
      <c r="L898" s="43"/>
      <c r="M898" s="44"/>
    </row>
    <row r="899">
      <c r="J899" s="43"/>
      <c r="K899" s="43"/>
      <c r="L899" s="43"/>
      <c r="M899" s="44"/>
    </row>
    <row r="900">
      <c r="J900" s="43"/>
      <c r="K900" s="43"/>
      <c r="L900" s="43"/>
      <c r="M900" s="44"/>
    </row>
    <row r="901">
      <c r="J901" s="43"/>
      <c r="K901" s="43"/>
      <c r="L901" s="43"/>
      <c r="M901" s="44"/>
    </row>
    <row r="902">
      <c r="J902" s="43"/>
      <c r="K902" s="43"/>
      <c r="L902" s="43"/>
      <c r="M902" s="44"/>
    </row>
    <row r="903">
      <c r="J903" s="43"/>
      <c r="K903" s="43"/>
      <c r="L903" s="43"/>
      <c r="M903" s="44"/>
    </row>
    <row r="904">
      <c r="J904" s="43"/>
      <c r="K904" s="43"/>
      <c r="L904" s="43"/>
      <c r="M904" s="44"/>
    </row>
    <row r="905">
      <c r="J905" s="43"/>
      <c r="K905" s="43"/>
      <c r="L905" s="43"/>
      <c r="M905" s="44"/>
    </row>
    <row r="906">
      <c r="J906" s="43"/>
      <c r="K906" s="43"/>
      <c r="L906" s="43"/>
      <c r="M906" s="44"/>
    </row>
    <row r="907">
      <c r="J907" s="43"/>
      <c r="K907" s="43"/>
      <c r="L907" s="43"/>
      <c r="M907" s="44"/>
    </row>
    <row r="908">
      <c r="J908" s="43"/>
      <c r="K908" s="43"/>
      <c r="L908" s="43"/>
      <c r="M908" s="44"/>
    </row>
    <row r="909">
      <c r="J909" s="43"/>
      <c r="K909" s="43"/>
      <c r="L909" s="43"/>
      <c r="M909" s="44"/>
    </row>
    <row r="910">
      <c r="J910" s="43"/>
      <c r="K910" s="43"/>
      <c r="L910" s="43"/>
      <c r="M910" s="44"/>
    </row>
    <row r="911">
      <c r="J911" s="43"/>
      <c r="K911" s="43"/>
      <c r="L911" s="43"/>
      <c r="M911" s="44"/>
    </row>
    <row r="912">
      <c r="J912" s="43"/>
      <c r="K912" s="43"/>
      <c r="L912" s="43"/>
      <c r="M912" s="44"/>
    </row>
    <row r="913">
      <c r="J913" s="43"/>
      <c r="K913" s="43"/>
      <c r="L913" s="43"/>
      <c r="M913" s="44"/>
    </row>
    <row r="914">
      <c r="J914" s="43"/>
      <c r="K914" s="43"/>
      <c r="L914" s="43"/>
      <c r="M914" s="44"/>
    </row>
    <row r="915">
      <c r="J915" s="43"/>
      <c r="K915" s="43"/>
      <c r="L915" s="43"/>
      <c r="M915" s="44"/>
    </row>
    <row r="916">
      <c r="J916" s="43"/>
      <c r="K916" s="43"/>
      <c r="L916" s="43"/>
      <c r="M916" s="44"/>
    </row>
    <row r="917">
      <c r="J917" s="43"/>
      <c r="K917" s="43"/>
      <c r="L917" s="43"/>
      <c r="M917" s="44"/>
    </row>
    <row r="918">
      <c r="J918" s="43"/>
      <c r="K918" s="43"/>
      <c r="L918" s="43"/>
      <c r="M918" s="44"/>
    </row>
    <row r="919">
      <c r="J919" s="43"/>
      <c r="K919" s="43"/>
      <c r="L919" s="43"/>
      <c r="M919" s="44"/>
    </row>
    <row r="920">
      <c r="J920" s="43"/>
      <c r="K920" s="43"/>
      <c r="L920" s="43"/>
      <c r="M920" s="44"/>
    </row>
    <row r="921">
      <c r="J921" s="43"/>
      <c r="K921" s="43"/>
      <c r="L921" s="43"/>
      <c r="M921" s="44"/>
    </row>
    <row r="922">
      <c r="J922" s="43"/>
      <c r="K922" s="43"/>
      <c r="L922" s="43"/>
      <c r="M922" s="44"/>
    </row>
    <row r="923">
      <c r="J923" s="43"/>
      <c r="K923" s="43"/>
      <c r="L923" s="43"/>
      <c r="M923" s="44"/>
    </row>
    <row r="924">
      <c r="J924" s="43"/>
      <c r="K924" s="43"/>
      <c r="L924" s="43"/>
      <c r="M924" s="44"/>
    </row>
    <row r="925">
      <c r="J925" s="43"/>
      <c r="K925" s="43"/>
      <c r="L925" s="43"/>
      <c r="M925" s="44"/>
    </row>
    <row r="926">
      <c r="J926" s="43"/>
      <c r="K926" s="43"/>
      <c r="L926" s="43"/>
      <c r="M926" s="44"/>
    </row>
    <row r="927">
      <c r="J927" s="43"/>
      <c r="K927" s="43"/>
      <c r="L927" s="43"/>
      <c r="M927" s="44"/>
    </row>
    <row r="928">
      <c r="J928" s="43"/>
      <c r="K928" s="43"/>
      <c r="L928" s="43"/>
      <c r="M928" s="44"/>
    </row>
    <row r="929">
      <c r="J929" s="43"/>
      <c r="K929" s="43"/>
      <c r="L929" s="43"/>
      <c r="M929" s="44"/>
    </row>
    <row r="930">
      <c r="J930" s="43"/>
      <c r="K930" s="43"/>
      <c r="L930" s="43"/>
      <c r="M930" s="44"/>
    </row>
    <row r="931">
      <c r="J931" s="43"/>
      <c r="K931" s="43"/>
      <c r="L931" s="43"/>
      <c r="M931" s="44"/>
    </row>
    <row r="932">
      <c r="J932" s="43"/>
      <c r="K932" s="43"/>
      <c r="L932" s="43"/>
      <c r="M932" s="44"/>
    </row>
    <row r="933">
      <c r="J933" s="43"/>
      <c r="K933" s="43"/>
      <c r="L933" s="43"/>
      <c r="M933" s="44"/>
    </row>
    <row r="934">
      <c r="J934" s="43"/>
      <c r="K934" s="43"/>
      <c r="L934" s="43"/>
      <c r="M934" s="44"/>
    </row>
    <row r="935">
      <c r="J935" s="43"/>
      <c r="K935" s="43"/>
      <c r="L935" s="43"/>
      <c r="M935" s="44"/>
    </row>
    <row r="936">
      <c r="J936" s="43"/>
      <c r="K936" s="43"/>
      <c r="L936" s="43"/>
      <c r="M936" s="44"/>
    </row>
    <row r="937">
      <c r="J937" s="43"/>
      <c r="K937" s="43"/>
      <c r="L937" s="43"/>
      <c r="M937" s="44"/>
    </row>
    <row r="938">
      <c r="J938" s="43"/>
      <c r="K938" s="43"/>
      <c r="L938" s="43"/>
      <c r="M938" s="44"/>
    </row>
    <row r="939">
      <c r="J939" s="43"/>
      <c r="K939" s="43"/>
      <c r="L939" s="43"/>
      <c r="M939" s="44"/>
    </row>
    <row r="940">
      <c r="J940" s="43"/>
      <c r="K940" s="43"/>
      <c r="L940" s="43"/>
      <c r="M940" s="44"/>
    </row>
    <row r="941">
      <c r="J941" s="43"/>
      <c r="K941" s="43"/>
      <c r="L941" s="43"/>
      <c r="M941" s="44"/>
    </row>
    <row r="942">
      <c r="J942" s="43"/>
      <c r="K942" s="43"/>
      <c r="L942" s="43"/>
      <c r="M942" s="44"/>
    </row>
    <row r="943">
      <c r="J943" s="43"/>
      <c r="K943" s="43"/>
      <c r="L943" s="43"/>
      <c r="M943" s="44"/>
    </row>
    <row r="944">
      <c r="J944" s="43"/>
      <c r="K944" s="43"/>
      <c r="L944" s="43"/>
      <c r="M944" s="44"/>
    </row>
    <row r="945">
      <c r="J945" s="43"/>
      <c r="K945" s="43"/>
      <c r="L945" s="43"/>
      <c r="M945" s="44"/>
    </row>
    <row r="946">
      <c r="J946" s="43"/>
      <c r="K946" s="43"/>
      <c r="L946" s="43"/>
      <c r="M946" s="44"/>
    </row>
    <row r="947">
      <c r="J947" s="43"/>
      <c r="K947" s="43"/>
      <c r="L947" s="43"/>
      <c r="M947" s="44"/>
    </row>
    <row r="948">
      <c r="J948" s="43"/>
      <c r="K948" s="43"/>
      <c r="L948" s="43"/>
      <c r="M948" s="44"/>
    </row>
    <row r="949">
      <c r="J949" s="43"/>
      <c r="K949" s="43"/>
      <c r="L949" s="43"/>
      <c r="M949" s="44"/>
    </row>
    <row r="950">
      <c r="J950" s="43"/>
      <c r="K950" s="43"/>
      <c r="L950" s="43"/>
      <c r="M950" s="44"/>
    </row>
    <row r="951">
      <c r="J951" s="43"/>
      <c r="K951" s="43"/>
      <c r="L951" s="43"/>
      <c r="M951" s="44"/>
    </row>
    <row r="952">
      <c r="J952" s="43"/>
      <c r="K952" s="43"/>
      <c r="L952" s="43"/>
      <c r="M952" s="44"/>
    </row>
    <row r="953">
      <c r="J953" s="43"/>
      <c r="K953" s="43"/>
      <c r="L953" s="43"/>
      <c r="M953" s="44"/>
    </row>
    <row r="954">
      <c r="J954" s="43"/>
      <c r="K954" s="43"/>
      <c r="L954" s="43"/>
      <c r="M954" s="44"/>
    </row>
    <row r="955">
      <c r="J955" s="43"/>
      <c r="K955" s="43"/>
      <c r="L955" s="43"/>
      <c r="M955" s="44"/>
    </row>
    <row r="956">
      <c r="J956" s="43"/>
      <c r="K956" s="43"/>
      <c r="L956" s="43"/>
      <c r="M956" s="44"/>
    </row>
    <row r="957">
      <c r="J957" s="43"/>
      <c r="K957" s="43"/>
      <c r="L957" s="43"/>
      <c r="M957" s="44"/>
    </row>
    <row r="958">
      <c r="J958" s="43"/>
      <c r="K958" s="43"/>
      <c r="L958" s="43"/>
      <c r="M958" s="44"/>
    </row>
    <row r="959">
      <c r="J959" s="43"/>
      <c r="K959" s="43"/>
      <c r="L959" s="43"/>
      <c r="M959" s="44"/>
    </row>
    <row r="960">
      <c r="J960" s="43"/>
      <c r="K960" s="43"/>
      <c r="L960" s="43"/>
      <c r="M960" s="44"/>
    </row>
    <row r="961">
      <c r="J961" s="43"/>
      <c r="K961" s="43"/>
      <c r="L961" s="43"/>
      <c r="M961" s="44"/>
    </row>
    <row r="962">
      <c r="J962" s="43"/>
      <c r="K962" s="43"/>
      <c r="L962" s="43"/>
      <c r="M962" s="44"/>
    </row>
    <row r="963">
      <c r="J963" s="43"/>
      <c r="K963" s="43"/>
      <c r="L963" s="43"/>
      <c r="M963" s="44"/>
    </row>
    <row r="964">
      <c r="J964" s="43"/>
      <c r="K964" s="43"/>
      <c r="L964" s="43"/>
      <c r="M964" s="44"/>
    </row>
    <row r="965">
      <c r="J965" s="43"/>
      <c r="K965" s="43"/>
      <c r="L965" s="43"/>
      <c r="M965" s="44"/>
    </row>
    <row r="966">
      <c r="J966" s="43"/>
      <c r="K966" s="43"/>
      <c r="L966" s="43"/>
      <c r="M966" s="44"/>
    </row>
    <row r="967">
      <c r="J967" s="43"/>
      <c r="K967" s="43"/>
      <c r="L967" s="43"/>
      <c r="M967" s="44"/>
    </row>
    <row r="968">
      <c r="J968" s="43"/>
      <c r="K968" s="43"/>
      <c r="L968" s="43"/>
      <c r="M968" s="44"/>
    </row>
    <row r="969">
      <c r="J969" s="43"/>
      <c r="K969" s="43"/>
      <c r="L969" s="43"/>
      <c r="M969" s="44"/>
    </row>
    <row r="970">
      <c r="J970" s="43"/>
      <c r="K970" s="43"/>
      <c r="L970" s="43"/>
      <c r="M970" s="44"/>
    </row>
    <row r="971">
      <c r="J971" s="43"/>
      <c r="K971" s="43"/>
      <c r="L971" s="43"/>
      <c r="M971" s="44"/>
    </row>
    <row r="972">
      <c r="J972" s="43"/>
      <c r="K972" s="43"/>
      <c r="L972" s="43"/>
      <c r="M972" s="44"/>
    </row>
    <row r="973">
      <c r="J973" s="43"/>
      <c r="K973" s="43"/>
      <c r="L973" s="43"/>
      <c r="M973" s="44"/>
    </row>
    <row r="974">
      <c r="J974" s="43"/>
      <c r="K974" s="43"/>
      <c r="L974" s="43"/>
      <c r="M974" s="44"/>
    </row>
    <row r="975">
      <c r="J975" s="43"/>
      <c r="K975" s="43"/>
      <c r="L975" s="43"/>
      <c r="M975" s="44"/>
    </row>
    <row r="976">
      <c r="J976" s="43"/>
      <c r="K976" s="43"/>
      <c r="L976" s="43"/>
      <c r="M976" s="44"/>
    </row>
    <row r="977">
      <c r="J977" s="43"/>
      <c r="K977" s="43"/>
      <c r="L977" s="43"/>
      <c r="M977" s="44"/>
    </row>
    <row r="978">
      <c r="J978" s="43"/>
      <c r="K978" s="43"/>
      <c r="L978" s="43"/>
      <c r="M978" s="44"/>
    </row>
    <row r="979">
      <c r="J979" s="43"/>
      <c r="K979" s="43"/>
      <c r="L979" s="43"/>
      <c r="M979" s="44"/>
    </row>
    <row r="980">
      <c r="J980" s="43"/>
      <c r="K980" s="43"/>
      <c r="L980" s="43"/>
      <c r="M980" s="44"/>
    </row>
    <row r="981">
      <c r="J981" s="43"/>
      <c r="K981" s="43"/>
      <c r="L981" s="43"/>
      <c r="M981" s="44"/>
    </row>
    <row r="982">
      <c r="J982" s="43"/>
      <c r="K982" s="43"/>
      <c r="L982" s="43"/>
      <c r="M982" s="44"/>
    </row>
    <row r="983">
      <c r="J983" s="43"/>
      <c r="K983" s="43"/>
      <c r="L983" s="43"/>
      <c r="M983" s="44"/>
    </row>
    <row r="984">
      <c r="J984" s="43"/>
      <c r="K984" s="43"/>
      <c r="L984" s="43"/>
      <c r="M984" s="44"/>
    </row>
    <row r="985">
      <c r="J985" s="43"/>
      <c r="K985" s="43"/>
      <c r="L985" s="43"/>
      <c r="M985" s="44"/>
    </row>
    <row r="986">
      <c r="J986" s="43"/>
      <c r="K986" s="43"/>
      <c r="L986" s="43"/>
      <c r="M986" s="44"/>
    </row>
    <row r="987">
      <c r="J987" s="43"/>
      <c r="K987" s="43"/>
      <c r="L987" s="43"/>
      <c r="M987" s="44"/>
    </row>
    <row r="988">
      <c r="J988" s="43"/>
      <c r="K988" s="43"/>
      <c r="L988" s="43"/>
      <c r="M988" s="44"/>
    </row>
    <row r="989">
      <c r="J989" s="43"/>
      <c r="K989" s="43"/>
      <c r="L989" s="43"/>
      <c r="M989" s="44"/>
    </row>
    <row r="990">
      <c r="J990" s="43"/>
      <c r="K990" s="43"/>
      <c r="L990" s="43"/>
      <c r="M990" s="44"/>
    </row>
    <row r="991">
      <c r="J991" s="43"/>
      <c r="K991" s="43"/>
      <c r="L991" s="43"/>
      <c r="M991" s="44"/>
    </row>
    <row r="992">
      <c r="J992" s="43"/>
      <c r="K992" s="43"/>
      <c r="L992" s="43"/>
      <c r="M992" s="44"/>
    </row>
    <row r="993">
      <c r="J993" s="43"/>
      <c r="K993" s="43"/>
      <c r="L993" s="43"/>
      <c r="M993" s="44"/>
    </row>
    <row r="994">
      <c r="J994" s="43"/>
      <c r="K994" s="43"/>
      <c r="L994" s="43"/>
      <c r="M994" s="44"/>
    </row>
    <row r="995">
      <c r="J995" s="43"/>
      <c r="K995" s="43"/>
      <c r="L995" s="43"/>
      <c r="M995" s="44"/>
    </row>
    <row r="996">
      <c r="J996" s="43"/>
      <c r="K996" s="43"/>
      <c r="L996" s="43"/>
      <c r="M996" s="44"/>
    </row>
    <row r="997">
      <c r="J997" s="43"/>
      <c r="K997" s="43"/>
      <c r="L997" s="43"/>
      <c r="M997" s="44"/>
    </row>
    <row r="998">
      <c r="J998" s="43"/>
      <c r="K998" s="43"/>
      <c r="L998" s="43"/>
      <c r="M998" s="44"/>
    </row>
    <row r="999">
      <c r="J999" s="43"/>
      <c r="K999" s="43"/>
      <c r="L999" s="43"/>
      <c r="M999" s="44"/>
    </row>
    <row r="1000">
      <c r="J1000" s="43"/>
      <c r="K1000" s="43"/>
      <c r="L1000" s="43"/>
      <c r="M1000" s="44"/>
    </row>
  </sheetData>
  <mergeCells count="8">
    <mergeCell ref="A2:F2"/>
    <mergeCell ref="H2:M2"/>
    <mergeCell ref="H19:I19"/>
    <mergeCell ref="H20:I20"/>
    <mergeCell ref="H21:I21"/>
    <mergeCell ref="H22:K22"/>
    <mergeCell ref="H23:I23"/>
    <mergeCell ref="H24:I24"/>
  </mergeCells>
  <printOptions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88"/>
    <col customWidth="1" min="2" max="2" width="12.63"/>
    <col customWidth="1" min="3" max="3" width="52.38"/>
    <col customWidth="1" min="4" max="7" width="12.63"/>
  </cols>
  <sheetData>
    <row r="1" ht="15.75" customHeight="1">
      <c r="A1" s="59" t="s">
        <v>12</v>
      </c>
      <c r="B1" s="59" t="s">
        <v>13</v>
      </c>
      <c r="C1" s="59" t="s">
        <v>14</v>
      </c>
      <c r="D1" s="60" t="s">
        <v>15</v>
      </c>
      <c r="E1" s="59" t="s">
        <v>16</v>
      </c>
      <c r="F1" s="61" t="s">
        <v>62</v>
      </c>
      <c r="G1" s="62" t="s">
        <v>17</v>
      </c>
      <c r="H1" s="63" t="s">
        <v>63</v>
      </c>
      <c r="AA1" s="10" t="s">
        <v>64</v>
      </c>
    </row>
    <row r="2" ht="15.75" customHeight="1">
      <c r="A2" s="10" t="s">
        <v>41</v>
      </c>
      <c r="B2" s="10" t="s">
        <v>65</v>
      </c>
      <c r="C2" s="10" t="s">
        <v>66</v>
      </c>
      <c r="D2" s="11">
        <f t="shared" ref="D2:D25" si="1">today()+AA2</f>
        <v>46145</v>
      </c>
      <c r="E2" s="10">
        <v>2.0</v>
      </c>
      <c r="F2" s="64">
        <v>1.5</v>
      </c>
      <c r="G2" s="65">
        <v>0.75</v>
      </c>
      <c r="H2" s="20" t="str">
        <f t="shared" ref="H2:H25" si="2">IF( E2&gt;10,"Y","")</f>
        <v/>
      </c>
      <c r="AA2" s="10">
        <v>-2.0</v>
      </c>
    </row>
    <row r="3" ht="15.75" customHeight="1">
      <c r="A3" s="10" t="s">
        <v>47</v>
      </c>
      <c r="B3" s="10" t="s">
        <v>67</v>
      </c>
      <c r="C3" s="10" t="s">
        <v>68</v>
      </c>
      <c r="D3" s="11">
        <f t="shared" si="1"/>
        <v>46126</v>
      </c>
      <c r="E3" s="10">
        <v>2.0</v>
      </c>
      <c r="F3" s="64">
        <v>2.0</v>
      </c>
      <c r="G3" s="65">
        <v>0.1</v>
      </c>
      <c r="H3" s="20" t="str">
        <f t="shared" si="2"/>
        <v/>
      </c>
      <c r="AA3" s="10">
        <v>-21.0</v>
      </c>
    </row>
    <row r="4" ht="15.75" customHeight="1">
      <c r="A4" s="10" t="s">
        <v>39</v>
      </c>
      <c r="B4" s="10" t="s">
        <v>69</v>
      </c>
      <c r="C4" s="10" t="s">
        <v>70</v>
      </c>
      <c r="D4" s="11">
        <f t="shared" si="1"/>
        <v>46161</v>
      </c>
      <c r="E4" s="10">
        <v>16.0</v>
      </c>
      <c r="F4" s="64">
        <v>3.0</v>
      </c>
      <c r="G4" s="65">
        <v>0.2</v>
      </c>
      <c r="H4" s="20" t="str">
        <f t="shared" si="2"/>
        <v>Y</v>
      </c>
      <c r="AA4" s="10">
        <v>14.0</v>
      </c>
    </row>
    <row r="5" ht="15.75" customHeight="1">
      <c r="A5" s="10" t="s">
        <v>47</v>
      </c>
      <c r="B5" s="10" t="s">
        <v>67</v>
      </c>
      <c r="C5" s="10" t="s">
        <v>71</v>
      </c>
      <c r="D5" s="11">
        <f t="shared" si="1"/>
        <v>46132</v>
      </c>
      <c r="E5" s="10">
        <v>1.0</v>
      </c>
      <c r="F5" s="64">
        <v>1.0</v>
      </c>
      <c r="G5" s="65">
        <v>0.1</v>
      </c>
      <c r="H5" s="20" t="str">
        <f t="shared" si="2"/>
        <v/>
      </c>
      <c r="AA5" s="10">
        <v>-15.0</v>
      </c>
    </row>
    <row r="6" ht="15.75" customHeight="1">
      <c r="A6" s="10" t="s">
        <v>45</v>
      </c>
      <c r="B6" s="10" t="s">
        <v>67</v>
      </c>
      <c r="C6" s="10" t="s">
        <v>72</v>
      </c>
      <c r="D6" s="11">
        <f t="shared" si="1"/>
        <v>46145</v>
      </c>
      <c r="E6" s="10">
        <v>2.0</v>
      </c>
      <c r="F6" s="64">
        <v>0.5</v>
      </c>
      <c r="G6" s="65">
        <v>0.2</v>
      </c>
      <c r="H6" s="20" t="str">
        <f t="shared" si="2"/>
        <v/>
      </c>
      <c r="AA6" s="10">
        <v>-2.0</v>
      </c>
    </row>
    <row r="7" ht="15.75" customHeight="1">
      <c r="A7" s="10" t="s">
        <v>41</v>
      </c>
      <c r="B7" s="10" t="s">
        <v>67</v>
      </c>
      <c r="C7" s="10" t="s">
        <v>73</v>
      </c>
      <c r="D7" s="11">
        <f t="shared" si="1"/>
        <v>46153</v>
      </c>
      <c r="E7" s="10">
        <v>6.0</v>
      </c>
      <c r="F7" s="64">
        <v>0.0</v>
      </c>
      <c r="G7" s="66">
        <v>0.0</v>
      </c>
      <c r="H7" s="20" t="str">
        <f t="shared" si="2"/>
        <v/>
      </c>
      <c r="AA7" s="10">
        <v>6.0</v>
      </c>
    </row>
    <row r="8" ht="15.75" customHeight="1">
      <c r="A8" s="10" t="s">
        <v>47</v>
      </c>
      <c r="B8" s="10" t="s">
        <v>67</v>
      </c>
      <c r="C8" s="10" t="s">
        <v>68</v>
      </c>
      <c r="D8" s="11">
        <f t="shared" si="1"/>
        <v>46136</v>
      </c>
      <c r="E8" s="10">
        <v>2.0</v>
      </c>
      <c r="F8" s="64">
        <v>2.0</v>
      </c>
      <c r="G8" s="65">
        <v>0.1</v>
      </c>
      <c r="H8" s="20" t="str">
        <f t="shared" si="2"/>
        <v/>
      </c>
      <c r="AA8" s="10">
        <v>-11.0</v>
      </c>
    </row>
    <row r="9" ht="15.75" customHeight="1">
      <c r="A9" s="10" t="s">
        <v>47</v>
      </c>
      <c r="B9" s="10" t="s">
        <v>67</v>
      </c>
      <c r="C9" s="10" t="s">
        <v>74</v>
      </c>
      <c r="D9" s="11">
        <f t="shared" si="1"/>
        <v>46140</v>
      </c>
      <c r="E9" s="10">
        <v>1.0</v>
      </c>
      <c r="F9" s="64">
        <v>1.0</v>
      </c>
      <c r="G9" s="65">
        <v>0.1</v>
      </c>
      <c r="H9" s="20" t="str">
        <f t="shared" si="2"/>
        <v/>
      </c>
      <c r="AA9" s="10">
        <v>-7.0</v>
      </c>
    </row>
    <row r="10" ht="15.75" customHeight="1">
      <c r="A10" s="10" t="s">
        <v>41</v>
      </c>
      <c r="B10" s="10" t="s">
        <v>67</v>
      </c>
      <c r="C10" s="10" t="s">
        <v>75</v>
      </c>
      <c r="D10" s="11">
        <f t="shared" si="1"/>
        <v>46144</v>
      </c>
      <c r="E10" s="10">
        <v>2.0</v>
      </c>
      <c r="F10" s="64">
        <v>0.0</v>
      </c>
      <c r="G10" s="66">
        <v>0.0</v>
      </c>
      <c r="H10" s="20" t="str">
        <f t="shared" si="2"/>
        <v/>
      </c>
      <c r="AA10" s="10">
        <v>-3.0</v>
      </c>
    </row>
    <row r="11" ht="15.75" customHeight="1">
      <c r="A11" s="10" t="s">
        <v>45</v>
      </c>
      <c r="B11" s="10" t="s">
        <v>65</v>
      </c>
      <c r="C11" s="10" t="s">
        <v>76</v>
      </c>
      <c r="D11" s="11">
        <f t="shared" si="1"/>
        <v>46148</v>
      </c>
      <c r="E11" s="10">
        <v>1.0</v>
      </c>
      <c r="F11" s="64">
        <v>0.0</v>
      </c>
      <c r="G11" s="66">
        <v>0.0</v>
      </c>
      <c r="H11" s="20" t="str">
        <f t="shared" si="2"/>
        <v/>
      </c>
      <c r="AA11" s="10">
        <v>1.0</v>
      </c>
    </row>
    <row r="12" ht="15.75" customHeight="1">
      <c r="A12" s="10" t="s">
        <v>45</v>
      </c>
      <c r="B12" s="10" t="s">
        <v>69</v>
      </c>
      <c r="C12" s="10" t="s">
        <v>77</v>
      </c>
      <c r="D12" s="11">
        <f t="shared" si="1"/>
        <v>46148</v>
      </c>
      <c r="E12" s="10">
        <v>2.0</v>
      </c>
      <c r="F12" s="64">
        <v>0.0</v>
      </c>
      <c r="G12" s="66">
        <v>0.0</v>
      </c>
      <c r="H12" s="20" t="str">
        <f t="shared" si="2"/>
        <v/>
      </c>
      <c r="AA12" s="10">
        <v>1.0</v>
      </c>
    </row>
    <row r="13" ht="15.75" customHeight="1">
      <c r="A13" s="10" t="s">
        <v>43</v>
      </c>
      <c r="B13" s="10" t="s">
        <v>69</v>
      </c>
      <c r="C13" s="10" t="s">
        <v>78</v>
      </c>
      <c r="D13" s="11">
        <f t="shared" si="1"/>
        <v>46151</v>
      </c>
      <c r="E13" s="10">
        <v>6.0</v>
      </c>
      <c r="F13" s="64">
        <v>0.5</v>
      </c>
      <c r="G13" s="65">
        <v>0.1</v>
      </c>
      <c r="H13" s="20" t="str">
        <f t="shared" si="2"/>
        <v/>
      </c>
      <c r="AA13" s="10">
        <v>4.0</v>
      </c>
    </row>
    <row r="14" ht="15.75" customHeight="1">
      <c r="A14" s="10" t="s">
        <v>41</v>
      </c>
      <c r="B14" s="10" t="s">
        <v>69</v>
      </c>
      <c r="C14" s="10" t="s">
        <v>79</v>
      </c>
      <c r="D14" s="11">
        <f t="shared" si="1"/>
        <v>46153</v>
      </c>
      <c r="E14" s="10">
        <v>4.0</v>
      </c>
      <c r="F14" s="64">
        <v>0.0</v>
      </c>
      <c r="G14" s="66">
        <v>0.0</v>
      </c>
      <c r="H14" s="20" t="str">
        <f t="shared" si="2"/>
        <v/>
      </c>
      <c r="AA14" s="10">
        <v>6.0</v>
      </c>
    </row>
    <row r="15" ht="15.75" customHeight="1">
      <c r="A15" s="10" t="s">
        <v>39</v>
      </c>
      <c r="B15" s="10" t="s">
        <v>69</v>
      </c>
      <c r="C15" s="10" t="s">
        <v>80</v>
      </c>
      <c r="D15" s="11">
        <f t="shared" si="1"/>
        <v>46165</v>
      </c>
      <c r="E15" s="10">
        <v>12.0</v>
      </c>
      <c r="F15" s="64">
        <v>1.5</v>
      </c>
      <c r="G15" s="65">
        <v>0.1</v>
      </c>
      <c r="H15" s="20" t="str">
        <f t="shared" si="2"/>
        <v>Y</v>
      </c>
      <c r="AA15" s="10">
        <v>18.0</v>
      </c>
    </row>
    <row r="16" ht="15.75" customHeight="1">
      <c r="A16" s="10" t="s">
        <v>47</v>
      </c>
      <c r="B16" s="10" t="s">
        <v>67</v>
      </c>
      <c r="C16" s="10" t="s">
        <v>68</v>
      </c>
      <c r="D16" s="11">
        <f t="shared" si="1"/>
        <v>46143</v>
      </c>
      <c r="E16" s="10">
        <v>2.0</v>
      </c>
      <c r="F16" s="64">
        <v>2.0</v>
      </c>
      <c r="G16" s="65">
        <v>0.1</v>
      </c>
      <c r="H16" s="20" t="str">
        <f t="shared" si="2"/>
        <v/>
      </c>
      <c r="AA16" s="10">
        <v>-4.0</v>
      </c>
    </row>
    <row r="17" ht="15.75" customHeight="1">
      <c r="A17" s="10" t="s">
        <v>47</v>
      </c>
      <c r="B17" s="10" t="s">
        <v>67</v>
      </c>
      <c r="C17" s="10" t="s">
        <v>81</v>
      </c>
      <c r="D17" s="11">
        <f t="shared" si="1"/>
        <v>46149</v>
      </c>
      <c r="E17" s="10">
        <v>1.0</v>
      </c>
      <c r="F17" s="64">
        <v>0.0</v>
      </c>
      <c r="G17" s="66">
        <v>0.0</v>
      </c>
      <c r="H17" s="20" t="str">
        <f t="shared" si="2"/>
        <v/>
      </c>
      <c r="AA17" s="10">
        <v>2.0</v>
      </c>
    </row>
    <row r="18" ht="15.75" customHeight="1">
      <c r="A18" s="10" t="s">
        <v>39</v>
      </c>
      <c r="B18" s="10" t="s">
        <v>69</v>
      </c>
      <c r="C18" s="10" t="s">
        <v>82</v>
      </c>
      <c r="D18" s="11">
        <f t="shared" si="1"/>
        <v>46168</v>
      </c>
      <c r="E18" s="10">
        <v>12.0</v>
      </c>
      <c r="F18" s="64">
        <v>0.0</v>
      </c>
      <c r="G18" s="66">
        <v>0.0</v>
      </c>
      <c r="H18" s="20" t="str">
        <f t="shared" si="2"/>
        <v>Y</v>
      </c>
      <c r="AA18" s="10">
        <v>21.0</v>
      </c>
    </row>
    <row r="19" ht="15.75" customHeight="1">
      <c r="A19" s="10" t="s">
        <v>41</v>
      </c>
      <c r="B19" s="10" t="s">
        <v>67</v>
      </c>
      <c r="C19" s="10" t="s">
        <v>83</v>
      </c>
      <c r="D19" s="11">
        <f t="shared" si="1"/>
        <v>46153</v>
      </c>
      <c r="E19" s="10">
        <v>3.0</v>
      </c>
      <c r="F19" s="64">
        <v>0.0</v>
      </c>
      <c r="G19" s="66">
        <v>0.0</v>
      </c>
      <c r="H19" s="20" t="str">
        <f t="shared" si="2"/>
        <v/>
      </c>
      <c r="AA19" s="10">
        <v>6.0</v>
      </c>
    </row>
    <row r="20" ht="15.75" customHeight="1">
      <c r="A20" s="10" t="s">
        <v>47</v>
      </c>
      <c r="B20" s="10" t="s">
        <v>67</v>
      </c>
      <c r="C20" s="10" t="s">
        <v>68</v>
      </c>
      <c r="D20" s="11">
        <f t="shared" si="1"/>
        <v>46150</v>
      </c>
      <c r="E20" s="10">
        <v>2.0</v>
      </c>
      <c r="F20" s="64">
        <v>0.0</v>
      </c>
      <c r="G20" s="66">
        <v>0.0</v>
      </c>
      <c r="H20" s="20" t="str">
        <f t="shared" si="2"/>
        <v/>
      </c>
      <c r="AA20" s="10">
        <v>3.0</v>
      </c>
    </row>
    <row r="21" ht="15.75" customHeight="1">
      <c r="A21" s="10" t="s">
        <v>45</v>
      </c>
      <c r="B21" s="10" t="s">
        <v>67</v>
      </c>
      <c r="C21" s="10" t="s">
        <v>84</v>
      </c>
      <c r="D21" s="11">
        <f t="shared" si="1"/>
        <v>46160</v>
      </c>
      <c r="E21" s="10">
        <v>1.0</v>
      </c>
      <c r="F21" s="64">
        <v>0.0</v>
      </c>
      <c r="G21" s="66">
        <v>0.0</v>
      </c>
      <c r="H21" s="20" t="str">
        <f t="shared" si="2"/>
        <v/>
      </c>
      <c r="AA21" s="10">
        <v>13.0</v>
      </c>
    </row>
    <row r="22" ht="15.75" customHeight="1">
      <c r="A22" s="10" t="s">
        <v>39</v>
      </c>
      <c r="B22" s="10" t="s">
        <v>69</v>
      </c>
      <c r="C22" s="10" t="s">
        <v>85</v>
      </c>
      <c r="D22" s="11">
        <f t="shared" si="1"/>
        <v>46168</v>
      </c>
      <c r="E22" s="10">
        <v>12.0</v>
      </c>
      <c r="F22" s="64">
        <v>0.0</v>
      </c>
      <c r="G22" s="66">
        <v>0.0</v>
      </c>
      <c r="H22" s="20" t="str">
        <f t="shared" si="2"/>
        <v>Y</v>
      </c>
      <c r="AA22" s="10">
        <v>21.0</v>
      </c>
    </row>
    <row r="23" ht="15.75" customHeight="1">
      <c r="A23" s="10" t="s">
        <v>41</v>
      </c>
      <c r="B23" s="10" t="s">
        <v>69</v>
      </c>
      <c r="C23" s="10" t="s">
        <v>86</v>
      </c>
      <c r="D23" s="11">
        <f t="shared" si="1"/>
        <v>46154</v>
      </c>
      <c r="E23" s="10">
        <v>6.0</v>
      </c>
      <c r="F23" s="64">
        <v>0.0</v>
      </c>
      <c r="G23" s="66">
        <v>0.0</v>
      </c>
      <c r="H23" s="20" t="str">
        <f t="shared" si="2"/>
        <v/>
      </c>
      <c r="AA23" s="10">
        <v>7.0</v>
      </c>
    </row>
    <row r="24" ht="15.75" customHeight="1">
      <c r="A24" s="10" t="s">
        <v>43</v>
      </c>
      <c r="B24" s="10" t="s">
        <v>69</v>
      </c>
      <c r="C24" s="10" t="s">
        <v>87</v>
      </c>
      <c r="D24" s="11">
        <f t="shared" si="1"/>
        <v>46156</v>
      </c>
      <c r="E24" s="10">
        <v>8.0</v>
      </c>
      <c r="F24" s="64">
        <v>1.0</v>
      </c>
      <c r="G24" s="65">
        <v>0.1</v>
      </c>
      <c r="H24" s="20" t="str">
        <f t="shared" si="2"/>
        <v/>
      </c>
      <c r="AA24" s="10">
        <v>9.0</v>
      </c>
    </row>
    <row r="25" ht="15.75" customHeight="1">
      <c r="A25" s="10" t="s">
        <v>41</v>
      </c>
      <c r="B25" s="10" t="s">
        <v>69</v>
      </c>
      <c r="C25" s="10" t="s">
        <v>88</v>
      </c>
      <c r="D25" s="11">
        <f t="shared" si="1"/>
        <v>46156</v>
      </c>
      <c r="E25" s="10">
        <v>6.0</v>
      </c>
      <c r="F25" s="64">
        <v>0.0</v>
      </c>
      <c r="G25" s="66">
        <v>0.0</v>
      </c>
      <c r="H25" s="20" t="str">
        <f t="shared" si="2"/>
        <v/>
      </c>
      <c r="AA25" s="10">
        <v>9.0</v>
      </c>
    </row>
    <row r="26" ht="15.75" customHeight="1">
      <c r="D26" s="11"/>
      <c r="G26" s="67"/>
    </row>
    <row r="27" ht="15.75" customHeight="1">
      <c r="D27" s="11"/>
      <c r="G27" s="67"/>
    </row>
    <row r="28" ht="15.75" customHeight="1">
      <c r="D28" s="11"/>
      <c r="G28" s="67"/>
    </row>
    <row r="29" ht="15.75" customHeight="1">
      <c r="D29" s="11"/>
      <c r="G29" s="67"/>
    </row>
    <row r="30" ht="15.75" customHeight="1">
      <c r="D30" s="11"/>
      <c r="G30" s="67"/>
    </row>
    <row r="31" ht="15.75" customHeight="1">
      <c r="D31" s="11"/>
      <c r="G31" s="67"/>
    </row>
    <row r="32" ht="15.75" customHeight="1">
      <c r="D32" s="11"/>
      <c r="G32" s="67"/>
    </row>
    <row r="33" ht="15.75" customHeight="1">
      <c r="D33" s="11"/>
      <c r="G33" s="67"/>
    </row>
    <row r="34" ht="15.75" customHeight="1">
      <c r="D34" s="11"/>
      <c r="G34" s="67"/>
    </row>
    <row r="35" ht="15.75" customHeight="1">
      <c r="D35" s="11"/>
      <c r="G35" s="67"/>
    </row>
    <row r="36" ht="15.75" customHeight="1">
      <c r="D36" s="11"/>
      <c r="G36" s="67"/>
    </row>
    <row r="37" ht="15.75" customHeight="1">
      <c r="D37" s="11"/>
      <c r="G37" s="67"/>
    </row>
    <row r="38" ht="15.75" customHeight="1">
      <c r="D38" s="11"/>
      <c r="G38" s="67"/>
    </row>
    <row r="39" ht="15.75" customHeight="1">
      <c r="D39" s="11"/>
      <c r="G39" s="67"/>
    </row>
    <row r="40" ht="15.75" customHeight="1">
      <c r="D40" s="11"/>
      <c r="G40" s="67"/>
    </row>
    <row r="41" ht="15.75" customHeight="1">
      <c r="D41" s="11"/>
      <c r="G41" s="67"/>
    </row>
    <row r="42" ht="15.75" customHeight="1">
      <c r="D42" s="11"/>
      <c r="G42" s="67"/>
    </row>
    <row r="43" ht="15.75" customHeight="1">
      <c r="D43" s="11"/>
      <c r="G43" s="67"/>
    </row>
    <row r="44" ht="15.75" customHeight="1">
      <c r="D44" s="11"/>
      <c r="G44" s="67"/>
    </row>
    <row r="45" ht="15.75" customHeight="1">
      <c r="D45" s="11"/>
      <c r="G45" s="67"/>
    </row>
    <row r="46" ht="15.75" customHeight="1">
      <c r="D46" s="11"/>
      <c r="G46" s="67"/>
    </row>
    <row r="47" ht="15.75" customHeight="1">
      <c r="D47" s="11"/>
      <c r="G47" s="67"/>
    </row>
    <row r="48" ht="15.75" customHeight="1">
      <c r="D48" s="11"/>
      <c r="G48" s="67"/>
    </row>
    <row r="49" ht="15.75" customHeight="1">
      <c r="D49" s="11"/>
      <c r="G49" s="67"/>
    </row>
    <row r="50" ht="15.75" customHeight="1">
      <c r="D50" s="11"/>
      <c r="G50" s="67"/>
    </row>
    <row r="51" ht="15.75" customHeight="1">
      <c r="D51" s="11"/>
      <c r="G51" s="67"/>
    </row>
    <row r="52" ht="15.75" customHeight="1">
      <c r="D52" s="11"/>
      <c r="G52" s="67"/>
    </row>
    <row r="53" ht="15.75" customHeight="1">
      <c r="D53" s="11"/>
      <c r="G53" s="67"/>
    </row>
    <row r="54" ht="15.75" customHeight="1">
      <c r="D54" s="11"/>
      <c r="G54" s="67"/>
    </row>
    <row r="55" ht="15.75" customHeight="1">
      <c r="D55" s="11"/>
      <c r="G55" s="67"/>
    </row>
    <row r="56" ht="15.75" customHeight="1">
      <c r="D56" s="11"/>
      <c r="G56" s="67"/>
    </row>
    <row r="57" ht="15.75" customHeight="1">
      <c r="D57" s="11"/>
      <c r="G57" s="67"/>
    </row>
    <row r="58" ht="15.75" customHeight="1">
      <c r="D58" s="11"/>
      <c r="G58" s="67"/>
    </row>
    <row r="59" ht="15.75" customHeight="1">
      <c r="D59" s="11"/>
      <c r="G59" s="67"/>
    </row>
    <row r="60" ht="15.75" customHeight="1">
      <c r="D60" s="11"/>
      <c r="G60" s="67"/>
    </row>
    <row r="61" ht="15.75" customHeight="1">
      <c r="D61" s="11"/>
      <c r="G61" s="67"/>
    </row>
    <row r="62" ht="15.75" customHeight="1">
      <c r="D62" s="11"/>
      <c r="G62" s="67"/>
    </row>
    <row r="63" ht="15.75" customHeight="1">
      <c r="D63" s="11"/>
      <c r="G63" s="67"/>
    </row>
    <row r="64" ht="15.75" customHeight="1">
      <c r="D64" s="11"/>
      <c r="G64" s="67"/>
    </row>
    <row r="65" ht="15.75" customHeight="1">
      <c r="D65" s="11"/>
      <c r="G65" s="67"/>
    </row>
    <row r="66" ht="15.75" customHeight="1">
      <c r="D66" s="11"/>
      <c r="G66" s="67"/>
    </row>
    <row r="67" ht="15.75" customHeight="1">
      <c r="D67" s="11"/>
      <c r="G67" s="67"/>
    </row>
    <row r="68" ht="15.75" customHeight="1">
      <c r="D68" s="11"/>
      <c r="G68" s="67"/>
    </row>
    <row r="69" ht="15.75" customHeight="1">
      <c r="D69" s="11"/>
      <c r="G69" s="67"/>
    </row>
    <row r="70" ht="15.75" customHeight="1">
      <c r="D70" s="11"/>
      <c r="G70" s="67"/>
    </row>
    <row r="71" ht="15.75" customHeight="1">
      <c r="D71" s="11"/>
      <c r="G71" s="67"/>
    </row>
    <row r="72" ht="15.75" customHeight="1">
      <c r="D72" s="11"/>
      <c r="G72" s="67"/>
    </row>
    <row r="73" ht="15.75" customHeight="1">
      <c r="D73" s="11"/>
      <c r="G73" s="67"/>
    </row>
    <row r="74" ht="15.75" customHeight="1">
      <c r="D74" s="11"/>
      <c r="G74" s="67"/>
    </row>
    <row r="75" ht="15.75" customHeight="1">
      <c r="D75" s="11"/>
      <c r="G75" s="67"/>
    </row>
    <row r="76" ht="15.75" customHeight="1">
      <c r="D76" s="11"/>
      <c r="G76" s="67"/>
    </row>
    <row r="77" ht="15.75" customHeight="1">
      <c r="D77" s="11"/>
      <c r="G77" s="67"/>
    </row>
    <row r="78" ht="15.75" customHeight="1">
      <c r="D78" s="11"/>
      <c r="G78" s="67"/>
    </row>
    <row r="79" ht="15.75" customHeight="1">
      <c r="D79" s="11"/>
      <c r="G79" s="67"/>
    </row>
    <row r="80" ht="15.75" customHeight="1">
      <c r="D80" s="11"/>
      <c r="G80" s="67"/>
    </row>
    <row r="81" ht="15.75" customHeight="1">
      <c r="D81" s="11"/>
      <c r="G81" s="67"/>
    </row>
    <row r="82" ht="15.75" customHeight="1">
      <c r="D82" s="11"/>
      <c r="G82" s="67"/>
    </row>
    <row r="83" ht="15.75" customHeight="1">
      <c r="D83" s="11"/>
      <c r="G83" s="67"/>
    </row>
    <row r="84" ht="15.75" customHeight="1">
      <c r="D84" s="11"/>
      <c r="G84" s="67"/>
    </row>
    <row r="85" ht="15.75" customHeight="1">
      <c r="D85" s="11"/>
      <c r="G85" s="67"/>
    </row>
    <row r="86" ht="15.75" customHeight="1">
      <c r="D86" s="11"/>
      <c r="G86" s="67"/>
    </row>
    <row r="87" ht="15.75" customHeight="1">
      <c r="D87" s="11"/>
      <c r="G87" s="67"/>
    </row>
    <row r="88" ht="15.75" customHeight="1">
      <c r="D88" s="11"/>
      <c r="G88" s="67"/>
    </row>
    <row r="89" ht="15.75" customHeight="1">
      <c r="D89" s="11"/>
      <c r="G89" s="67"/>
    </row>
    <row r="90" ht="15.75" customHeight="1">
      <c r="D90" s="11"/>
      <c r="G90" s="67"/>
    </row>
    <row r="91" ht="15.75" customHeight="1">
      <c r="D91" s="11"/>
      <c r="G91" s="67"/>
    </row>
    <row r="92" ht="15.75" customHeight="1">
      <c r="D92" s="11"/>
      <c r="G92" s="67"/>
    </row>
    <row r="93" ht="15.75" customHeight="1">
      <c r="D93" s="11"/>
      <c r="G93" s="67"/>
    </row>
    <row r="94" ht="15.75" customHeight="1">
      <c r="D94" s="11"/>
      <c r="G94" s="67"/>
    </row>
    <row r="95" ht="15.75" customHeight="1">
      <c r="D95" s="11"/>
      <c r="G95" s="67"/>
    </row>
    <row r="96" ht="15.75" customHeight="1">
      <c r="D96" s="11"/>
      <c r="G96" s="67"/>
    </row>
    <row r="97" ht="15.75" customHeight="1">
      <c r="D97" s="11"/>
      <c r="G97" s="67"/>
    </row>
    <row r="98" ht="15.75" customHeight="1">
      <c r="D98" s="11"/>
      <c r="G98" s="67"/>
    </row>
    <row r="99" ht="15.75" customHeight="1">
      <c r="D99" s="11"/>
      <c r="G99" s="67"/>
    </row>
    <row r="100" ht="15.75" customHeight="1">
      <c r="D100" s="11"/>
      <c r="G100" s="67"/>
    </row>
    <row r="101" ht="15.75" customHeight="1">
      <c r="D101" s="11"/>
      <c r="G101" s="67"/>
    </row>
    <row r="102" ht="15.75" customHeight="1">
      <c r="D102" s="11"/>
      <c r="G102" s="67"/>
    </row>
    <row r="103" ht="15.75" customHeight="1">
      <c r="D103" s="11"/>
      <c r="G103" s="67"/>
    </row>
    <row r="104" ht="15.75" customHeight="1">
      <c r="D104" s="11"/>
      <c r="G104" s="67"/>
    </row>
    <row r="105" ht="15.75" customHeight="1">
      <c r="D105" s="11"/>
      <c r="G105" s="67"/>
    </row>
    <row r="106" ht="15.75" customHeight="1">
      <c r="D106" s="11"/>
      <c r="G106" s="67"/>
    </row>
    <row r="107" ht="15.75" customHeight="1">
      <c r="D107" s="11"/>
      <c r="G107" s="67"/>
    </row>
    <row r="108" ht="15.75" customHeight="1">
      <c r="D108" s="11"/>
      <c r="G108" s="67"/>
    </row>
    <row r="109" ht="15.75" customHeight="1">
      <c r="D109" s="11"/>
      <c r="G109" s="67"/>
    </row>
    <row r="110" ht="15.75" customHeight="1">
      <c r="D110" s="11"/>
      <c r="G110" s="67"/>
    </row>
    <row r="111" ht="15.75" customHeight="1">
      <c r="D111" s="11"/>
      <c r="G111" s="67"/>
    </row>
    <row r="112" ht="15.75" customHeight="1">
      <c r="D112" s="11"/>
      <c r="G112" s="67"/>
    </row>
    <row r="113" ht="15.75" customHeight="1">
      <c r="D113" s="11"/>
      <c r="G113" s="67"/>
    </row>
    <row r="114" ht="15.75" customHeight="1">
      <c r="D114" s="11"/>
      <c r="G114" s="67"/>
    </row>
    <row r="115" ht="15.75" customHeight="1">
      <c r="D115" s="11"/>
      <c r="G115" s="67"/>
    </row>
    <row r="116" ht="15.75" customHeight="1">
      <c r="D116" s="11"/>
      <c r="G116" s="67"/>
    </row>
    <row r="117" ht="15.75" customHeight="1">
      <c r="D117" s="11"/>
      <c r="G117" s="67"/>
    </row>
    <row r="118" ht="15.75" customHeight="1">
      <c r="D118" s="11"/>
      <c r="G118" s="67"/>
    </row>
    <row r="119" ht="15.75" customHeight="1">
      <c r="D119" s="11"/>
      <c r="G119" s="67"/>
    </row>
    <row r="120" ht="15.75" customHeight="1">
      <c r="D120" s="11"/>
      <c r="G120" s="67"/>
    </row>
    <row r="121" ht="15.75" customHeight="1">
      <c r="D121" s="11"/>
      <c r="G121" s="67"/>
    </row>
    <row r="122" ht="15.75" customHeight="1">
      <c r="D122" s="11"/>
      <c r="G122" s="67"/>
    </row>
    <row r="123" ht="15.75" customHeight="1">
      <c r="D123" s="11"/>
      <c r="G123" s="67"/>
    </row>
    <row r="124" ht="15.75" customHeight="1">
      <c r="D124" s="11"/>
      <c r="G124" s="67"/>
    </row>
    <row r="125" ht="15.75" customHeight="1">
      <c r="D125" s="11"/>
      <c r="G125" s="67"/>
    </row>
    <row r="126" ht="15.75" customHeight="1">
      <c r="D126" s="11"/>
      <c r="G126" s="67"/>
    </row>
    <row r="127" ht="15.75" customHeight="1">
      <c r="D127" s="11"/>
      <c r="G127" s="67"/>
    </row>
    <row r="128" ht="15.75" customHeight="1">
      <c r="D128" s="11"/>
      <c r="G128" s="67"/>
    </row>
    <row r="129" ht="15.75" customHeight="1">
      <c r="D129" s="11"/>
      <c r="G129" s="67"/>
    </row>
    <row r="130" ht="15.75" customHeight="1">
      <c r="D130" s="11"/>
      <c r="G130" s="67"/>
    </row>
    <row r="131" ht="15.75" customHeight="1">
      <c r="D131" s="11"/>
      <c r="G131" s="67"/>
    </row>
    <row r="132" ht="15.75" customHeight="1">
      <c r="D132" s="11"/>
      <c r="G132" s="67"/>
    </row>
    <row r="133" ht="15.75" customHeight="1">
      <c r="D133" s="11"/>
      <c r="G133" s="67"/>
    </row>
    <row r="134" ht="15.75" customHeight="1">
      <c r="D134" s="11"/>
      <c r="G134" s="67"/>
    </row>
    <row r="135" ht="15.75" customHeight="1">
      <c r="D135" s="11"/>
      <c r="G135" s="67"/>
    </row>
    <row r="136" ht="15.75" customHeight="1">
      <c r="D136" s="11"/>
      <c r="G136" s="67"/>
    </row>
    <row r="137" ht="15.75" customHeight="1">
      <c r="D137" s="11"/>
      <c r="G137" s="67"/>
    </row>
    <row r="138" ht="15.75" customHeight="1">
      <c r="D138" s="11"/>
      <c r="G138" s="67"/>
    </row>
    <row r="139" ht="15.75" customHeight="1">
      <c r="D139" s="11"/>
      <c r="G139" s="67"/>
    </row>
    <row r="140" ht="15.75" customHeight="1">
      <c r="D140" s="11"/>
      <c r="G140" s="67"/>
    </row>
    <row r="141" ht="15.75" customHeight="1">
      <c r="D141" s="11"/>
      <c r="G141" s="67"/>
    </row>
    <row r="142" ht="15.75" customHeight="1">
      <c r="D142" s="11"/>
      <c r="G142" s="67"/>
    </row>
    <row r="143" ht="15.75" customHeight="1">
      <c r="D143" s="11"/>
      <c r="G143" s="67"/>
    </row>
    <row r="144" ht="15.75" customHeight="1">
      <c r="D144" s="11"/>
      <c r="G144" s="67"/>
    </row>
    <row r="145" ht="15.75" customHeight="1">
      <c r="D145" s="11"/>
      <c r="G145" s="67"/>
    </row>
    <row r="146" ht="15.75" customHeight="1">
      <c r="D146" s="11"/>
      <c r="G146" s="67"/>
    </row>
    <row r="147" ht="15.75" customHeight="1">
      <c r="D147" s="11"/>
      <c r="G147" s="67"/>
    </row>
    <row r="148" ht="15.75" customHeight="1">
      <c r="D148" s="11"/>
      <c r="G148" s="67"/>
    </row>
    <row r="149" ht="15.75" customHeight="1">
      <c r="D149" s="11"/>
      <c r="G149" s="67"/>
    </row>
    <row r="150" ht="15.75" customHeight="1">
      <c r="D150" s="11"/>
      <c r="G150" s="67"/>
    </row>
    <row r="151" ht="15.75" customHeight="1">
      <c r="D151" s="11"/>
      <c r="G151" s="67"/>
    </row>
    <row r="152" ht="15.75" customHeight="1">
      <c r="D152" s="11"/>
      <c r="G152" s="67"/>
    </row>
    <row r="153" ht="15.75" customHeight="1">
      <c r="D153" s="11"/>
      <c r="G153" s="67"/>
    </row>
    <row r="154" ht="15.75" customHeight="1">
      <c r="D154" s="11"/>
      <c r="G154" s="67"/>
    </row>
    <row r="155" ht="15.75" customHeight="1">
      <c r="D155" s="11"/>
      <c r="G155" s="67"/>
    </row>
    <row r="156" ht="15.75" customHeight="1">
      <c r="D156" s="11"/>
      <c r="G156" s="67"/>
    </row>
    <row r="157" ht="15.75" customHeight="1">
      <c r="D157" s="11"/>
      <c r="G157" s="67"/>
    </row>
    <row r="158" ht="15.75" customHeight="1">
      <c r="D158" s="11"/>
      <c r="G158" s="67"/>
    </row>
    <row r="159" ht="15.75" customHeight="1">
      <c r="D159" s="11"/>
      <c r="G159" s="67"/>
    </row>
    <row r="160" ht="15.75" customHeight="1">
      <c r="D160" s="11"/>
      <c r="G160" s="67"/>
    </row>
    <row r="161" ht="15.75" customHeight="1">
      <c r="D161" s="11"/>
      <c r="G161" s="67"/>
    </row>
    <row r="162" ht="15.75" customHeight="1">
      <c r="D162" s="11"/>
      <c r="G162" s="67"/>
    </row>
    <row r="163" ht="15.75" customHeight="1">
      <c r="D163" s="11"/>
      <c r="G163" s="67"/>
    </row>
    <row r="164" ht="15.75" customHeight="1">
      <c r="D164" s="11"/>
      <c r="G164" s="67"/>
    </row>
    <row r="165" ht="15.75" customHeight="1">
      <c r="D165" s="11"/>
      <c r="G165" s="67"/>
    </row>
    <row r="166" ht="15.75" customHeight="1">
      <c r="D166" s="11"/>
      <c r="G166" s="67"/>
    </row>
    <row r="167" ht="15.75" customHeight="1">
      <c r="D167" s="11"/>
      <c r="G167" s="67"/>
    </row>
    <row r="168" ht="15.75" customHeight="1">
      <c r="D168" s="11"/>
      <c r="G168" s="67"/>
    </row>
    <row r="169" ht="15.75" customHeight="1">
      <c r="D169" s="11"/>
      <c r="G169" s="67"/>
    </row>
    <row r="170" ht="15.75" customHeight="1">
      <c r="D170" s="11"/>
      <c r="G170" s="67"/>
    </row>
    <row r="171" ht="15.75" customHeight="1">
      <c r="D171" s="11"/>
      <c r="G171" s="67"/>
    </row>
    <row r="172" ht="15.75" customHeight="1">
      <c r="D172" s="11"/>
      <c r="G172" s="67"/>
    </row>
    <row r="173" ht="15.75" customHeight="1">
      <c r="D173" s="11"/>
      <c r="G173" s="67"/>
    </row>
    <row r="174" ht="15.75" customHeight="1">
      <c r="D174" s="11"/>
      <c r="G174" s="67"/>
    </row>
    <row r="175" ht="15.75" customHeight="1">
      <c r="D175" s="11"/>
      <c r="G175" s="67"/>
    </row>
    <row r="176" ht="15.75" customHeight="1">
      <c r="D176" s="11"/>
      <c r="G176" s="67"/>
    </row>
    <row r="177" ht="15.75" customHeight="1">
      <c r="D177" s="11"/>
      <c r="G177" s="67"/>
    </row>
    <row r="178" ht="15.75" customHeight="1">
      <c r="D178" s="11"/>
      <c r="G178" s="67"/>
    </row>
    <row r="179" ht="15.75" customHeight="1">
      <c r="D179" s="11"/>
      <c r="G179" s="67"/>
    </row>
    <row r="180" ht="15.75" customHeight="1">
      <c r="D180" s="11"/>
      <c r="G180" s="67"/>
    </row>
    <row r="181" ht="15.75" customHeight="1">
      <c r="D181" s="11"/>
      <c r="G181" s="67"/>
    </row>
    <row r="182" ht="15.75" customHeight="1">
      <c r="D182" s="11"/>
      <c r="G182" s="67"/>
    </row>
    <row r="183" ht="15.75" customHeight="1">
      <c r="D183" s="11"/>
      <c r="G183" s="67"/>
    </row>
    <row r="184" ht="15.75" customHeight="1">
      <c r="D184" s="11"/>
      <c r="G184" s="67"/>
    </row>
    <row r="185" ht="15.75" customHeight="1">
      <c r="D185" s="11"/>
      <c r="G185" s="67"/>
    </row>
    <row r="186" ht="15.75" customHeight="1">
      <c r="D186" s="11"/>
      <c r="G186" s="67"/>
    </row>
    <row r="187" ht="15.75" customHeight="1">
      <c r="D187" s="11"/>
      <c r="G187" s="67"/>
    </row>
    <row r="188" ht="15.75" customHeight="1">
      <c r="D188" s="11"/>
      <c r="G188" s="67"/>
    </row>
    <row r="189" ht="15.75" customHeight="1">
      <c r="D189" s="11"/>
      <c r="G189" s="67"/>
    </row>
    <row r="190" ht="15.75" customHeight="1">
      <c r="D190" s="11"/>
      <c r="G190" s="67"/>
    </row>
    <row r="191" ht="15.75" customHeight="1">
      <c r="D191" s="11"/>
      <c r="G191" s="67"/>
    </row>
    <row r="192" ht="15.75" customHeight="1">
      <c r="D192" s="11"/>
      <c r="G192" s="67"/>
    </row>
    <row r="193" ht="15.75" customHeight="1">
      <c r="D193" s="11"/>
      <c r="G193" s="67"/>
    </row>
    <row r="194" ht="15.75" customHeight="1">
      <c r="D194" s="11"/>
      <c r="G194" s="67"/>
    </row>
    <row r="195" ht="15.75" customHeight="1">
      <c r="D195" s="11"/>
      <c r="G195" s="67"/>
    </row>
    <row r="196" ht="15.75" customHeight="1">
      <c r="D196" s="11"/>
      <c r="G196" s="67"/>
    </row>
    <row r="197" ht="15.75" customHeight="1">
      <c r="D197" s="11"/>
      <c r="G197" s="67"/>
    </row>
    <row r="198" ht="15.75" customHeight="1">
      <c r="D198" s="11"/>
      <c r="G198" s="67"/>
    </row>
    <row r="199" ht="15.75" customHeight="1">
      <c r="D199" s="11"/>
      <c r="G199" s="67"/>
    </row>
    <row r="200" ht="15.75" customHeight="1">
      <c r="D200" s="11"/>
      <c r="G200" s="67"/>
    </row>
    <row r="201" ht="15.75" customHeight="1">
      <c r="D201" s="11"/>
      <c r="G201" s="67"/>
    </row>
    <row r="202" ht="15.75" customHeight="1">
      <c r="D202" s="11"/>
      <c r="G202" s="67"/>
    </row>
    <row r="203" ht="15.75" customHeight="1">
      <c r="D203" s="11"/>
      <c r="G203" s="67"/>
    </row>
    <row r="204" ht="15.75" customHeight="1">
      <c r="D204" s="11"/>
      <c r="G204" s="67"/>
    </row>
    <row r="205" ht="15.75" customHeight="1">
      <c r="D205" s="11"/>
      <c r="G205" s="67"/>
    </row>
    <row r="206" ht="15.75" customHeight="1">
      <c r="D206" s="11"/>
      <c r="G206" s="67"/>
    </row>
    <row r="207" ht="15.75" customHeight="1">
      <c r="D207" s="11"/>
      <c r="G207" s="67"/>
    </row>
    <row r="208" ht="15.75" customHeight="1">
      <c r="D208" s="11"/>
      <c r="G208" s="67"/>
    </row>
    <row r="209" ht="15.75" customHeight="1">
      <c r="D209" s="11"/>
      <c r="G209" s="67"/>
    </row>
    <row r="210" ht="15.75" customHeight="1">
      <c r="D210" s="11"/>
      <c r="G210" s="67"/>
    </row>
    <row r="211" ht="15.75" customHeight="1">
      <c r="D211" s="11"/>
      <c r="G211" s="67"/>
    </row>
    <row r="212" ht="15.75" customHeight="1">
      <c r="D212" s="11"/>
      <c r="G212" s="67"/>
    </row>
    <row r="213" ht="15.75" customHeight="1">
      <c r="D213" s="11"/>
      <c r="G213" s="67"/>
    </row>
    <row r="214" ht="15.75" customHeight="1">
      <c r="D214" s="11"/>
      <c r="G214" s="67"/>
    </row>
    <row r="215" ht="15.75" customHeight="1">
      <c r="D215" s="11"/>
      <c r="G215" s="67"/>
    </row>
    <row r="216" ht="15.75" customHeight="1">
      <c r="D216" s="11"/>
      <c r="G216" s="67"/>
    </row>
    <row r="217" ht="15.75" customHeight="1">
      <c r="D217" s="11"/>
      <c r="G217" s="67"/>
    </row>
    <row r="218" ht="15.75" customHeight="1">
      <c r="D218" s="11"/>
      <c r="G218" s="67"/>
    </row>
    <row r="219" ht="15.75" customHeight="1">
      <c r="D219" s="11"/>
      <c r="G219" s="67"/>
    </row>
    <row r="220" ht="15.75" customHeight="1">
      <c r="D220" s="11"/>
      <c r="G220" s="67"/>
    </row>
    <row r="221" ht="15.75" customHeight="1">
      <c r="D221" s="11"/>
      <c r="G221" s="67"/>
    </row>
    <row r="222" ht="15.75" customHeight="1">
      <c r="D222" s="11"/>
      <c r="G222" s="67"/>
    </row>
    <row r="223" ht="15.75" customHeight="1">
      <c r="D223" s="11"/>
      <c r="G223" s="67"/>
    </row>
    <row r="224" ht="15.75" customHeight="1">
      <c r="D224" s="11"/>
      <c r="G224" s="67"/>
    </row>
    <row r="225" ht="15.75" customHeight="1">
      <c r="D225" s="11"/>
      <c r="G225" s="67"/>
    </row>
    <row r="226" ht="15.75" customHeight="1">
      <c r="G226" s="67"/>
    </row>
    <row r="227" ht="15.75" customHeight="1">
      <c r="G227" s="67"/>
    </row>
    <row r="228" ht="15.75" customHeight="1">
      <c r="G228" s="67"/>
    </row>
    <row r="229" ht="15.75" customHeight="1">
      <c r="G229" s="67"/>
    </row>
    <row r="230" ht="15.75" customHeight="1">
      <c r="G230" s="67"/>
    </row>
    <row r="231" ht="15.75" customHeight="1">
      <c r="G231" s="67"/>
    </row>
    <row r="232" ht="15.75" customHeight="1">
      <c r="G232" s="67"/>
    </row>
    <row r="233" ht="15.75" customHeight="1">
      <c r="G233" s="67"/>
    </row>
    <row r="234" ht="15.75" customHeight="1">
      <c r="G234" s="67"/>
    </row>
    <row r="235" ht="15.75" customHeight="1">
      <c r="G235" s="67"/>
    </row>
    <row r="236" ht="15.75" customHeight="1">
      <c r="G236" s="67"/>
    </row>
    <row r="237" ht="15.75" customHeight="1">
      <c r="G237" s="67"/>
    </row>
    <row r="238" ht="15.75" customHeight="1">
      <c r="G238" s="67"/>
    </row>
    <row r="239" ht="15.75" customHeight="1">
      <c r="G239" s="67"/>
    </row>
    <row r="240" ht="15.75" customHeight="1">
      <c r="G240" s="67"/>
    </row>
    <row r="241" ht="15.75" customHeight="1">
      <c r="G241" s="67"/>
    </row>
    <row r="242" ht="15.75" customHeight="1">
      <c r="G242" s="67"/>
    </row>
    <row r="243" ht="15.75" customHeight="1">
      <c r="G243" s="67"/>
    </row>
    <row r="244" ht="15.75" customHeight="1">
      <c r="G244" s="67"/>
    </row>
    <row r="245" ht="15.75" customHeight="1">
      <c r="G245" s="67"/>
    </row>
    <row r="246" ht="15.75" customHeight="1">
      <c r="G246" s="67"/>
    </row>
    <row r="247" ht="15.75" customHeight="1">
      <c r="G247" s="67"/>
    </row>
    <row r="248" ht="15.75" customHeight="1">
      <c r="G248" s="67"/>
    </row>
    <row r="249" ht="15.75" customHeight="1">
      <c r="G249" s="67"/>
    </row>
    <row r="250" ht="15.75" customHeight="1">
      <c r="G250" s="67"/>
    </row>
    <row r="251" ht="15.75" customHeight="1">
      <c r="G251" s="67"/>
    </row>
    <row r="252" ht="15.75" customHeight="1">
      <c r="G252" s="67"/>
    </row>
    <row r="253" ht="15.75" customHeight="1">
      <c r="G253" s="67"/>
    </row>
    <row r="254" ht="15.75" customHeight="1">
      <c r="G254" s="67"/>
    </row>
    <row r="255" ht="15.75" customHeight="1">
      <c r="G255" s="67"/>
    </row>
    <row r="256" ht="15.75" customHeight="1">
      <c r="G256" s="67"/>
    </row>
    <row r="257" ht="15.75" customHeight="1">
      <c r="G257" s="67"/>
    </row>
    <row r="258" ht="15.75" customHeight="1">
      <c r="G258" s="67"/>
    </row>
    <row r="259" ht="15.75" customHeight="1">
      <c r="G259" s="67"/>
    </row>
    <row r="260" ht="15.75" customHeight="1">
      <c r="G260" s="67"/>
    </row>
    <row r="261" ht="15.75" customHeight="1">
      <c r="G261" s="67"/>
    </row>
    <row r="262" ht="15.75" customHeight="1">
      <c r="G262" s="67"/>
    </row>
    <row r="263" ht="15.75" customHeight="1">
      <c r="G263" s="67"/>
    </row>
    <row r="264" ht="15.75" customHeight="1">
      <c r="G264" s="67"/>
    </row>
    <row r="265" ht="15.75" customHeight="1">
      <c r="G265" s="67"/>
    </row>
    <row r="266" ht="15.75" customHeight="1">
      <c r="G266" s="67"/>
    </row>
    <row r="267" ht="15.75" customHeight="1">
      <c r="G267" s="67"/>
    </row>
    <row r="268" ht="15.75" customHeight="1">
      <c r="G268" s="67"/>
    </row>
    <row r="269" ht="15.75" customHeight="1">
      <c r="G269" s="67"/>
    </row>
    <row r="270" ht="15.75" customHeight="1">
      <c r="G270" s="67"/>
    </row>
    <row r="271" ht="15.75" customHeight="1">
      <c r="G271" s="67"/>
    </row>
    <row r="272" ht="15.75" customHeight="1">
      <c r="G272" s="67"/>
    </row>
    <row r="273" ht="15.75" customHeight="1">
      <c r="G273" s="67"/>
    </row>
    <row r="274" ht="15.75" customHeight="1">
      <c r="G274" s="67"/>
    </row>
    <row r="275" ht="15.75" customHeight="1">
      <c r="G275" s="67"/>
    </row>
    <row r="276" ht="15.75" customHeight="1">
      <c r="G276" s="67"/>
    </row>
    <row r="277" ht="15.75" customHeight="1">
      <c r="G277" s="67"/>
    </row>
    <row r="278" ht="15.75" customHeight="1">
      <c r="G278" s="67"/>
    </row>
    <row r="279" ht="15.75" customHeight="1">
      <c r="G279" s="67"/>
    </row>
    <row r="280" ht="15.75" customHeight="1">
      <c r="G280" s="67"/>
    </row>
    <row r="281" ht="15.75" customHeight="1">
      <c r="G281" s="67"/>
    </row>
    <row r="282" ht="15.75" customHeight="1">
      <c r="G282" s="67"/>
    </row>
    <row r="283" ht="15.75" customHeight="1">
      <c r="G283" s="67"/>
    </row>
    <row r="284" ht="15.75" customHeight="1">
      <c r="G284" s="67"/>
    </row>
    <row r="285" ht="15.75" customHeight="1">
      <c r="G285" s="67"/>
    </row>
    <row r="286" ht="15.75" customHeight="1">
      <c r="G286" s="67"/>
    </row>
    <row r="287" ht="15.75" customHeight="1">
      <c r="G287" s="67"/>
    </row>
    <row r="288" ht="15.75" customHeight="1">
      <c r="G288" s="67"/>
    </row>
    <row r="289" ht="15.75" customHeight="1">
      <c r="G289" s="67"/>
    </row>
    <row r="290" ht="15.75" customHeight="1">
      <c r="G290" s="67"/>
    </row>
    <row r="291" ht="15.75" customHeight="1">
      <c r="G291" s="67"/>
    </row>
    <row r="292" ht="15.75" customHeight="1">
      <c r="G292" s="67"/>
    </row>
    <row r="293" ht="15.75" customHeight="1">
      <c r="G293" s="67"/>
    </row>
    <row r="294" ht="15.75" customHeight="1">
      <c r="G294" s="67"/>
    </row>
    <row r="295" ht="15.75" customHeight="1">
      <c r="G295" s="67"/>
    </row>
    <row r="296" ht="15.75" customHeight="1">
      <c r="G296" s="67"/>
    </row>
    <row r="297" ht="15.75" customHeight="1">
      <c r="G297" s="67"/>
    </row>
    <row r="298" ht="15.75" customHeight="1">
      <c r="G298" s="67"/>
    </row>
    <row r="299" ht="15.75" customHeight="1">
      <c r="G299" s="67"/>
    </row>
    <row r="300" ht="15.75" customHeight="1">
      <c r="G300" s="67"/>
    </row>
    <row r="301" ht="15.75" customHeight="1">
      <c r="G301" s="67"/>
    </row>
    <row r="302" ht="15.75" customHeight="1">
      <c r="G302" s="67"/>
    </row>
    <row r="303" ht="15.75" customHeight="1">
      <c r="G303" s="67"/>
    </row>
    <row r="304" ht="15.75" customHeight="1">
      <c r="G304" s="67"/>
    </row>
    <row r="305" ht="15.75" customHeight="1">
      <c r="G305" s="67"/>
    </row>
    <row r="306" ht="15.75" customHeight="1">
      <c r="G306" s="67"/>
    </row>
    <row r="307" ht="15.75" customHeight="1">
      <c r="G307" s="67"/>
    </row>
    <row r="308" ht="15.75" customHeight="1">
      <c r="G308" s="67"/>
    </row>
    <row r="309" ht="15.75" customHeight="1">
      <c r="G309" s="67"/>
    </row>
    <row r="310" ht="15.75" customHeight="1">
      <c r="G310" s="67"/>
    </row>
    <row r="311" ht="15.75" customHeight="1">
      <c r="G311" s="67"/>
    </row>
    <row r="312" ht="15.75" customHeight="1">
      <c r="G312" s="67"/>
    </row>
    <row r="313" ht="15.75" customHeight="1">
      <c r="G313" s="67"/>
    </row>
    <row r="314" ht="15.75" customHeight="1">
      <c r="G314" s="67"/>
    </row>
    <row r="315" ht="15.75" customHeight="1">
      <c r="G315" s="67"/>
    </row>
    <row r="316" ht="15.75" customHeight="1">
      <c r="G316" s="67"/>
    </row>
    <row r="317" ht="15.75" customHeight="1">
      <c r="G317" s="67"/>
    </row>
    <row r="318" ht="15.75" customHeight="1">
      <c r="G318" s="67"/>
    </row>
    <row r="319" ht="15.75" customHeight="1">
      <c r="G319" s="67"/>
    </row>
    <row r="320" ht="15.75" customHeight="1">
      <c r="G320" s="67"/>
    </row>
    <row r="321" ht="15.75" customHeight="1">
      <c r="G321" s="67"/>
    </row>
    <row r="322" ht="15.75" customHeight="1">
      <c r="G322" s="67"/>
    </row>
    <row r="323" ht="15.75" customHeight="1">
      <c r="G323" s="67"/>
    </row>
    <row r="324" ht="15.75" customHeight="1">
      <c r="G324" s="67"/>
    </row>
    <row r="325" ht="15.75" customHeight="1">
      <c r="G325" s="67"/>
    </row>
    <row r="326" ht="15.75" customHeight="1">
      <c r="G326" s="67"/>
    </row>
    <row r="327" ht="15.75" customHeight="1">
      <c r="G327" s="67"/>
    </row>
    <row r="328" ht="15.75" customHeight="1">
      <c r="G328" s="67"/>
    </row>
    <row r="329" ht="15.75" customHeight="1">
      <c r="G329" s="67"/>
    </row>
    <row r="330" ht="15.75" customHeight="1">
      <c r="G330" s="67"/>
    </row>
    <row r="331" ht="15.75" customHeight="1">
      <c r="G331" s="67"/>
    </row>
    <row r="332" ht="15.75" customHeight="1">
      <c r="G332" s="67"/>
    </row>
    <row r="333" ht="15.75" customHeight="1">
      <c r="G333" s="67"/>
    </row>
    <row r="334" ht="15.75" customHeight="1">
      <c r="G334" s="67"/>
    </row>
    <row r="335" ht="15.75" customHeight="1">
      <c r="G335" s="67"/>
    </row>
    <row r="336" ht="15.75" customHeight="1">
      <c r="G336" s="67"/>
    </row>
    <row r="337" ht="15.75" customHeight="1">
      <c r="G337" s="67"/>
    </row>
    <row r="338" ht="15.75" customHeight="1">
      <c r="G338" s="67"/>
    </row>
    <row r="339" ht="15.75" customHeight="1">
      <c r="G339" s="67"/>
    </row>
    <row r="340" ht="15.75" customHeight="1">
      <c r="G340" s="67"/>
    </row>
    <row r="341" ht="15.75" customHeight="1">
      <c r="G341" s="67"/>
    </row>
    <row r="342" ht="15.75" customHeight="1">
      <c r="G342" s="67"/>
    </row>
    <row r="343" ht="15.75" customHeight="1">
      <c r="G343" s="67"/>
    </row>
    <row r="344" ht="15.75" customHeight="1">
      <c r="G344" s="67"/>
    </row>
    <row r="345" ht="15.75" customHeight="1">
      <c r="G345" s="67"/>
    </row>
    <row r="346" ht="15.75" customHeight="1">
      <c r="G346" s="67"/>
    </row>
    <row r="347" ht="15.75" customHeight="1">
      <c r="G347" s="67"/>
    </row>
    <row r="348" ht="15.75" customHeight="1">
      <c r="G348" s="67"/>
    </row>
    <row r="349" ht="15.75" customHeight="1">
      <c r="G349" s="67"/>
    </row>
    <row r="350" ht="15.75" customHeight="1">
      <c r="G350" s="67"/>
    </row>
    <row r="351" ht="15.75" customHeight="1">
      <c r="G351" s="67"/>
    </row>
    <row r="352" ht="15.75" customHeight="1">
      <c r="G352" s="67"/>
    </row>
    <row r="353" ht="15.75" customHeight="1">
      <c r="G353" s="67"/>
    </row>
    <row r="354" ht="15.75" customHeight="1">
      <c r="G354" s="67"/>
    </row>
    <row r="355" ht="15.75" customHeight="1">
      <c r="G355" s="67"/>
    </row>
    <row r="356" ht="15.75" customHeight="1">
      <c r="G356" s="67"/>
    </row>
    <row r="357" ht="15.75" customHeight="1">
      <c r="G357" s="67"/>
    </row>
    <row r="358" ht="15.75" customHeight="1">
      <c r="G358" s="67"/>
    </row>
    <row r="359" ht="15.75" customHeight="1">
      <c r="G359" s="67"/>
    </row>
    <row r="360" ht="15.75" customHeight="1">
      <c r="G360" s="67"/>
    </row>
    <row r="361" ht="15.75" customHeight="1">
      <c r="G361" s="67"/>
    </row>
    <row r="362" ht="15.75" customHeight="1">
      <c r="G362" s="67"/>
    </row>
    <row r="363" ht="15.75" customHeight="1">
      <c r="G363" s="67"/>
    </row>
    <row r="364" ht="15.75" customHeight="1">
      <c r="G364" s="67"/>
    </row>
    <row r="365" ht="15.75" customHeight="1">
      <c r="G365" s="67"/>
    </row>
    <row r="366" ht="15.75" customHeight="1">
      <c r="G366" s="67"/>
    </row>
    <row r="367" ht="15.75" customHeight="1">
      <c r="G367" s="67"/>
    </row>
    <row r="368" ht="15.75" customHeight="1">
      <c r="G368" s="67"/>
    </row>
    <row r="369" ht="15.75" customHeight="1">
      <c r="G369" s="67"/>
    </row>
    <row r="370" ht="15.75" customHeight="1">
      <c r="G370" s="67"/>
    </row>
    <row r="371" ht="15.75" customHeight="1">
      <c r="G371" s="67"/>
    </row>
    <row r="372" ht="15.75" customHeight="1">
      <c r="G372" s="67"/>
    </row>
    <row r="373" ht="15.75" customHeight="1">
      <c r="G373" s="67"/>
    </row>
    <row r="374" ht="15.75" customHeight="1">
      <c r="G374" s="67"/>
    </row>
    <row r="375" ht="15.75" customHeight="1">
      <c r="G375" s="67"/>
    </row>
    <row r="376" ht="15.75" customHeight="1">
      <c r="G376" s="67"/>
    </row>
    <row r="377" ht="15.75" customHeight="1">
      <c r="G377" s="67"/>
    </row>
    <row r="378" ht="15.75" customHeight="1">
      <c r="G378" s="67"/>
    </row>
    <row r="379" ht="15.75" customHeight="1">
      <c r="G379" s="67"/>
    </row>
    <row r="380" ht="15.75" customHeight="1">
      <c r="G380" s="67"/>
    </row>
    <row r="381" ht="15.75" customHeight="1">
      <c r="G381" s="67"/>
    </row>
    <row r="382" ht="15.75" customHeight="1">
      <c r="G382" s="67"/>
    </row>
    <row r="383" ht="15.75" customHeight="1">
      <c r="G383" s="67"/>
    </row>
    <row r="384" ht="15.75" customHeight="1">
      <c r="G384" s="67"/>
    </row>
    <row r="385" ht="15.75" customHeight="1">
      <c r="G385" s="67"/>
    </row>
    <row r="386" ht="15.75" customHeight="1">
      <c r="G386" s="67"/>
    </row>
    <row r="387" ht="15.75" customHeight="1">
      <c r="G387" s="67"/>
    </row>
    <row r="388" ht="15.75" customHeight="1">
      <c r="G388" s="67"/>
    </row>
    <row r="389" ht="15.75" customHeight="1">
      <c r="G389" s="67"/>
    </row>
    <row r="390" ht="15.75" customHeight="1">
      <c r="G390" s="67"/>
    </row>
    <row r="391" ht="15.75" customHeight="1">
      <c r="G391" s="67"/>
    </row>
    <row r="392" ht="15.75" customHeight="1">
      <c r="G392" s="67"/>
    </row>
    <row r="393" ht="15.75" customHeight="1">
      <c r="G393" s="67"/>
    </row>
    <row r="394" ht="15.75" customHeight="1">
      <c r="G394" s="67"/>
    </row>
    <row r="395" ht="15.75" customHeight="1">
      <c r="G395" s="67"/>
    </row>
    <row r="396" ht="15.75" customHeight="1">
      <c r="G396" s="67"/>
    </row>
    <row r="397" ht="15.75" customHeight="1">
      <c r="G397" s="67"/>
    </row>
    <row r="398" ht="15.75" customHeight="1">
      <c r="G398" s="67"/>
    </row>
    <row r="399" ht="15.75" customHeight="1">
      <c r="G399" s="67"/>
    </row>
    <row r="400" ht="15.75" customHeight="1">
      <c r="G400" s="67"/>
    </row>
    <row r="401" ht="15.75" customHeight="1">
      <c r="G401" s="67"/>
    </row>
    <row r="402" ht="15.75" customHeight="1">
      <c r="G402" s="67"/>
    </row>
    <row r="403" ht="15.75" customHeight="1">
      <c r="G403" s="67"/>
    </row>
    <row r="404" ht="15.75" customHeight="1">
      <c r="G404" s="67"/>
    </row>
    <row r="405" ht="15.75" customHeight="1">
      <c r="G405" s="67"/>
    </row>
    <row r="406" ht="15.75" customHeight="1">
      <c r="G406" s="67"/>
    </row>
    <row r="407" ht="15.75" customHeight="1">
      <c r="G407" s="67"/>
    </row>
    <row r="408" ht="15.75" customHeight="1">
      <c r="G408" s="67"/>
    </row>
    <row r="409" ht="15.75" customHeight="1">
      <c r="G409" s="67"/>
    </row>
    <row r="410" ht="15.75" customHeight="1">
      <c r="G410" s="67"/>
    </row>
    <row r="411" ht="15.75" customHeight="1">
      <c r="G411" s="67"/>
    </row>
    <row r="412" ht="15.75" customHeight="1">
      <c r="G412" s="67"/>
    </row>
    <row r="413" ht="15.75" customHeight="1">
      <c r="G413" s="67"/>
    </row>
    <row r="414" ht="15.75" customHeight="1">
      <c r="G414" s="67"/>
    </row>
    <row r="415" ht="15.75" customHeight="1">
      <c r="G415" s="67"/>
    </row>
    <row r="416" ht="15.75" customHeight="1">
      <c r="G416" s="67"/>
    </row>
    <row r="417" ht="15.75" customHeight="1">
      <c r="G417" s="67"/>
    </row>
    <row r="418" ht="15.75" customHeight="1">
      <c r="G418" s="67"/>
    </row>
    <row r="419" ht="15.75" customHeight="1">
      <c r="G419" s="67"/>
    </row>
    <row r="420" ht="15.75" customHeight="1">
      <c r="G420" s="67"/>
    </row>
    <row r="421" ht="15.75" customHeight="1">
      <c r="G421" s="67"/>
    </row>
    <row r="422" ht="15.75" customHeight="1">
      <c r="G422" s="67"/>
    </row>
    <row r="423" ht="15.75" customHeight="1">
      <c r="G423" s="67"/>
    </row>
    <row r="424" ht="15.75" customHeight="1">
      <c r="G424" s="67"/>
    </row>
    <row r="425" ht="15.75" customHeight="1">
      <c r="G425" s="67"/>
    </row>
    <row r="426" ht="15.75" customHeight="1">
      <c r="G426" s="67"/>
    </row>
    <row r="427" ht="15.75" customHeight="1">
      <c r="G427" s="67"/>
    </row>
    <row r="428" ht="15.75" customHeight="1">
      <c r="G428" s="67"/>
    </row>
    <row r="429" ht="15.75" customHeight="1">
      <c r="G429" s="67"/>
    </row>
    <row r="430" ht="15.75" customHeight="1">
      <c r="G430" s="67"/>
    </row>
    <row r="431" ht="15.75" customHeight="1">
      <c r="G431" s="67"/>
    </row>
    <row r="432" ht="15.75" customHeight="1">
      <c r="G432" s="67"/>
    </row>
    <row r="433" ht="15.75" customHeight="1">
      <c r="G433" s="67"/>
    </row>
    <row r="434" ht="15.75" customHeight="1">
      <c r="G434" s="67"/>
    </row>
    <row r="435" ht="15.75" customHeight="1">
      <c r="G435" s="67"/>
    </row>
    <row r="436" ht="15.75" customHeight="1">
      <c r="G436" s="67"/>
    </row>
    <row r="437" ht="15.75" customHeight="1">
      <c r="G437" s="67"/>
    </row>
    <row r="438" ht="15.75" customHeight="1">
      <c r="G438" s="67"/>
    </row>
    <row r="439" ht="15.75" customHeight="1">
      <c r="G439" s="67"/>
    </row>
    <row r="440" ht="15.75" customHeight="1">
      <c r="G440" s="67"/>
    </row>
    <row r="441" ht="15.75" customHeight="1">
      <c r="G441" s="67"/>
    </row>
    <row r="442" ht="15.75" customHeight="1">
      <c r="G442" s="67"/>
    </row>
    <row r="443" ht="15.75" customHeight="1">
      <c r="G443" s="67"/>
    </row>
    <row r="444" ht="15.75" customHeight="1">
      <c r="G444" s="67"/>
    </row>
    <row r="445" ht="15.75" customHeight="1">
      <c r="G445" s="67"/>
    </row>
    <row r="446" ht="15.75" customHeight="1">
      <c r="G446" s="67"/>
    </row>
    <row r="447" ht="15.75" customHeight="1">
      <c r="G447" s="67"/>
    </row>
    <row r="448" ht="15.75" customHeight="1">
      <c r="G448" s="67"/>
    </row>
    <row r="449" ht="15.75" customHeight="1">
      <c r="G449" s="67"/>
    </row>
    <row r="450" ht="15.75" customHeight="1">
      <c r="G450" s="67"/>
    </row>
    <row r="451" ht="15.75" customHeight="1">
      <c r="G451" s="67"/>
    </row>
    <row r="452" ht="15.75" customHeight="1">
      <c r="G452" s="67"/>
    </row>
    <row r="453" ht="15.75" customHeight="1">
      <c r="G453" s="67"/>
    </row>
    <row r="454" ht="15.75" customHeight="1">
      <c r="G454" s="67"/>
    </row>
    <row r="455" ht="15.75" customHeight="1">
      <c r="G455" s="67"/>
    </row>
    <row r="456" ht="15.75" customHeight="1">
      <c r="G456" s="67"/>
    </row>
    <row r="457" ht="15.75" customHeight="1">
      <c r="G457" s="67"/>
    </row>
    <row r="458" ht="15.75" customHeight="1">
      <c r="G458" s="67"/>
    </row>
    <row r="459" ht="15.75" customHeight="1">
      <c r="G459" s="67"/>
    </row>
    <row r="460" ht="15.75" customHeight="1">
      <c r="G460" s="67"/>
    </row>
    <row r="461" ht="15.75" customHeight="1">
      <c r="G461" s="67"/>
    </row>
    <row r="462" ht="15.75" customHeight="1">
      <c r="G462" s="67"/>
    </row>
    <row r="463" ht="15.75" customHeight="1">
      <c r="G463" s="67"/>
    </row>
    <row r="464" ht="15.75" customHeight="1">
      <c r="G464" s="67"/>
    </row>
    <row r="465" ht="15.75" customHeight="1">
      <c r="G465" s="67"/>
    </row>
    <row r="466" ht="15.75" customHeight="1">
      <c r="G466" s="67"/>
    </row>
    <row r="467" ht="15.75" customHeight="1">
      <c r="G467" s="67"/>
    </row>
    <row r="468" ht="15.75" customHeight="1">
      <c r="G468" s="67"/>
    </row>
    <row r="469" ht="15.75" customHeight="1">
      <c r="G469" s="67"/>
    </row>
    <row r="470" ht="15.75" customHeight="1">
      <c r="G470" s="67"/>
    </row>
    <row r="471" ht="15.75" customHeight="1">
      <c r="G471" s="67"/>
    </row>
    <row r="472" ht="15.75" customHeight="1">
      <c r="G472" s="67"/>
    </row>
    <row r="473" ht="15.75" customHeight="1">
      <c r="G473" s="67"/>
    </row>
    <row r="474" ht="15.75" customHeight="1">
      <c r="G474" s="67"/>
    </row>
    <row r="475" ht="15.75" customHeight="1">
      <c r="G475" s="67"/>
    </row>
    <row r="476" ht="15.75" customHeight="1">
      <c r="G476" s="67"/>
    </row>
    <row r="477" ht="15.75" customHeight="1">
      <c r="G477" s="67"/>
    </row>
    <row r="478" ht="15.75" customHeight="1">
      <c r="G478" s="67"/>
    </row>
    <row r="479" ht="15.75" customHeight="1">
      <c r="G479" s="67"/>
    </row>
    <row r="480" ht="15.75" customHeight="1">
      <c r="G480" s="67"/>
    </row>
    <row r="481" ht="15.75" customHeight="1">
      <c r="G481" s="67"/>
    </row>
    <row r="482" ht="15.75" customHeight="1">
      <c r="G482" s="67"/>
    </row>
    <row r="483" ht="15.75" customHeight="1">
      <c r="G483" s="67"/>
    </row>
    <row r="484" ht="15.75" customHeight="1">
      <c r="G484" s="67"/>
    </row>
    <row r="485" ht="15.75" customHeight="1">
      <c r="G485" s="67"/>
    </row>
    <row r="486" ht="15.75" customHeight="1">
      <c r="G486" s="67"/>
    </row>
    <row r="487" ht="15.75" customHeight="1">
      <c r="G487" s="67"/>
    </row>
    <row r="488" ht="15.75" customHeight="1">
      <c r="G488" s="67"/>
    </row>
    <row r="489" ht="15.75" customHeight="1">
      <c r="G489" s="67"/>
    </row>
    <row r="490" ht="15.75" customHeight="1">
      <c r="G490" s="67"/>
    </row>
    <row r="491" ht="15.75" customHeight="1">
      <c r="G491" s="67"/>
    </row>
    <row r="492" ht="15.75" customHeight="1">
      <c r="G492" s="67"/>
    </row>
    <row r="493" ht="15.75" customHeight="1">
      <c r="G493" s="67"/>
    </row>
    <row r="494" ht="15.75" customHeight="1">
      <c r="G494" s="67"/>
    </row>
    <row r="495" ht="15.75" customHeight="1">
      <c r="G495" s="67"/>
    </row>
    <row r="496" ht="15.75" customHeight="1">
      <c r="G496" s="67"/>
    </row>
    <row r="497" ht="15.75" customHeight="1">
      <c r="G497" s="67"/>
    </row>
    <row r="498" ht="15.75" customHeight="1">
      <c r="G498" s="67"/>
    </row>
    <row r="499" ht="15.75" customHeight="1">
      <c r="G499" s="67"/>
    </row>
    <row r="500" ht="15.75" customHeight="1">
      <c r="G500" s="67"/>
    </row>
    <row r="501" ht="15.75" customHeight="1">
      <c r="G501" s="67"/>
    </row>
    <row r="502" ht="15.75" customHeight="1">
      <c r="G502" s="67"/>
    </row>
    <row r="503" ht="15.75" customHeight="1">
      <c r="G503" s="67"/>
    </row>
    <row r="504" ht="15.75" customHeight="1">
      <c r="G504" s="67"/>
    </row>
    <row r="505" ht="15.75" customHeight="1">
      <c r="G505" s="67"/>
    </row>
    <row r="506" ht="15.75" customHeight="1">
      <c r="G506" s="67"/>
    </row>
    <row r="507" ht="15.75" customHeight="1">
      <c r="G507" s="67"/>
    </row>
    <row r="508" ht="15.75" customHeight="1">
      <c r="G508" s="67"/>
    </row>
    <row r="509" ht="15.75" customHeight="1">
      <c r="G509" s="67"/>
    </row>
    <row r="510" ht="15.75" customHeight="1">
      <c r="G510" s="67"/>
    </row>
    <row r="511" ht="15.75" customHeight="1">
      <c r="G511" s="67"/>
    </row>
    <row r="512" ht="15.75" customHeight="1">
      <c r="G512" s="67"/>
    </row>
    <row r="513" ht="15.75" customHeight="1">
      <c r="G513" s="67"/>
    </row>
    <row r="514" ht="15.75" customHeight="1">
      <c r="G514" s="67"/>
    </row>
    <row r="515" ht="15.75" customHeight="1">
      <c r="G515" s="67"/>
    </row>
    <row r="516" ht="15.75" customHeight="1">
      <c r="G516" s="67"/>
    </row>
    <row r="517" ht="15.75" customHeight="1">
      <c r="G517" s="67"/>
    </row>
    <row r="518" ht="15.75" customHeight="1">
      <c r="G518" s="67"/>
    </row>
    <row r="519" ht="15.75" customHeight="1">
      <c r="G519" s="67"/>
    </row>
    <row r="520" ht="15.75" customHeight="1">
      <c r="G520" s="67"/>
    </row>
    <row r="521" ht="15.75" customHeight="1">
      <c r="G521" s="67"/>
    </row>
    <row r="522" ht="15.75" customHeight="1">
      <c r="G522" s="67"/>
    </row>
    <row r="523" ht="15.75" customHeight="1">
      <c r="G523" s="67"/>
    </row>
    <row r="524" ht="15.75" customHeight="1">
      <c r="G524" s="67"/>
    </row>
    <row r="525" ht="15.75" customHeight="1">
      <c r="G525" s="67"/>
    </row>
    <row r="526" ht="15.75" customHeight="1">
      <c r="G526" s="67"/>
    </row>
    <row r="527" ht="15.75" customHeight="1">
      <c r="G527" s="67"/>
    </row>
    <row r="528" ht="15.75" customHeight="1">
      <c r="G528" s="67"/>
    </row>
    <row r="529" ht="15.75" customHeight="1">
      <c r="G529" s="67"/>
    </row>
    <row r="530" ht="15.75" customHeight="1">
      <c r="G530" s="67"/>
    </row>
    <row r="531" ht="15.75" customHeight="1">
      <c r="G531" s="67"/>
    </row>
    <row r="532" ht="15.75" customHeight="1">
      <c r="G532" s="67"/>
    </row>
    <row r="533" ht="15.75" customHeight="1">
      <c r="G533" s="67"/>
    </row>
    <row r="534" ht="15.75" customHeight="1">
      <c r="G534" s="67"/>
    </row>
    <row r="535" ht="15.75" customHeight="1">
      <c r="G535" s="67"/>
    </row>
    <row r="536" ht="15.75" customHeight="1">
      <c r="G536" s="67"/>
    </row>
    <row r="537" ht="15.75" customHeight="1">
      <c r="G537" s="67"/>
    </row>
    <row r="538" ht="15.75" customHeight="1">
      <c r="G538" s="67"/>
    </row>
    <row r="539" ht="15.75" customHeight="1">
      <c r="G539" s="67"/>
    </row>
    <row r="540" ht="15.75" customHeight="1">
      <c r="G540" s="67"/>
    </row>
    <row r="541" ht="15.75" customHeight="1">
      <c r="G541" s="67"/>
    </row>
    <row r="542" ht="15.75" customHeight="1">
      <c r="G542" s="67"/>
    </row>
    <row r="543" ht="15.75" customHeight="1">
      <c r="G543" s="67"/>
    </row>
    <row r="544" ht="15.75" customHeight="1">
      <c r="G544" s="67"/>
    </row>
    <row r="545" ht="15.75" customHeight="1">
      <c r="G545" s="67"/>
    </row>
    <row r="546" ht="15.75" customHeight="1">
      <c r="G546" s="67"/>
    </row>
    <row r="547" ht="15.75" customHeight="1">
      <c r="G547" s="67"/>
    </row>
    <row r="548" ht="15.75" customHeight="1">
      <c r="G548" s="67"/>
    </row>
    <row r="549" ht="15.75" customHeight="1">
      <c r="G549" s="67"/>
    </row>
    <row r="550" ht="15.75" customHeight="1">
      <c r="G550" s="67"/>
    </row>
    <row r="551" ht="15.75" customHeight="1">
      <c r="G551" s="67"/>
    </row>
    <row r="552" ht="15.75" customHeight="1">
      <c r="G552" s="67"/>
    </row>
    <row r="553" ht="15.75" customHeight="1">
      <c r="G553" s="67"/>
    </row>
    <row r="554" ht="15.75" customHeight="1">
      <c r="G554" s="67"/>
    </row>
    <row r="555" ht="15.75" customHeight="1">
      <c r="G555" s="67"/>
    </row>
    <row r="556" ht="15.75" customHeight="1">
      <c r="G556" s="67"/>
    </row>
    <row r="557" ht="15.75" customHeight="1">
      <c r="G557" s="67"/>
    </row>
    <row r="558" ht="15.75" customHeight="1">
      <c r="G558" s="67"/>
    </row>
    <row r="559" ht="15.75" customHeight="1">
      <c r="G559" s="67"/>
    </row>
    <row r="560" ht="15.75" customHeight="1">
      <c r="G560" s="67"/>
    </row>
    <row r="561" ht="15.75" customHeight="1">
      <c r="G561" s="67"/>
    </row>
    <row r="562" ht="15.75" customHeight="1">
      <c r="G562" s="67"/>
    </row>
    <row r="563" ht="15.75" customHeight="1">
      <c r="G563" s="67"/>
    </row>
    <row r="564" ht="15.75" customHeight="1">
      <c r="G564" s="67"/>
    </row>
    <row r="565" ht="15.75" customHeight="1">
      <c r="G565" s="67"/>
    </row>
    <row r="566" ht="15.75" customHeight="1">
      <c r="G566" s="67"/>
    </row>
    <row r="567" ht="15.75" customHeight="1">
      <c r="G567" s="67"/>
    </row>
    <row r="568" ht="15.75" customHeight="1">
      <c r="G568" s="67"/>
    </row>
    <row r="569" ht="15.75" customHeight="1">
      <c r="G569" s="67"/>
    </row>
    <row r="570" ht="15.75" customHeight="1">
      <c r="G570" s="67"/>
    </row>
    <row r="571" ht="15.75" customHeight="1">
      <c r="G571" s="67"/>
    </row>
    <row r="572" ht="15.75" customHeight="1">
      <c r="G572" s="67"/>
    </row>
    <row r="573" ht="15.75" customHeight="1">
      <c r="G573" s="67"/>
    </row>
    <row r="574" ht="15.75" customHeight="1">
      <c r="G574" s="67"/>
    </row>
    <row r="575" ht="15.75" customHeight="1">
      <c r="G575" s="67"/>
    </row>
    <row r="576" ht="15.75" customHeight="1">
      <c r="G576" s="67"/>
    </row>
    <row r="577" ht="15.75" customHeight="1">
      <c r="G577" s="67"/>
    </row>
    <row r="578" ht="15.75" customHeight="1">
      <c r="G578" s="67"/>
    </row>
    <row r="579" ht="15.75" customHeight="1">
      <c r="G579" s="67"/>
    </row>
    <row r="580" ht="15.75" customHeight="1">
      <c r="G580" s="67"/>
    </row>
    <row r="581" ht="15.75" customHeight="1">
      <c r="G581" s="67"/>
    </row>
    <row r="582" ht="15.75" customHeight="1">
      <c r="G582" s="67"/>
    </row>
    <row r="583" ht="15.75" customHeight="1">
      <c r="G583" s="67"/>
    </row>
    <row r="584" ht="15.75" customHeight="1">
      <c r="G584" s="67"/>
    </row>
    <row r="585" ht="15.75" customHeight="1">
      <c r="G585" s="67"/>
    </row>
    <row r="586" ht="15.75" customHeight="1">
      <c r="G586" s="67"/>
    </row>
    <row r="587" ht="15.75" customHeight="1">
      <c r="G587" s="67"/>
    </row>
    <row r="588" ht="15.75" customHeight="1">
      <c r="G588" s="67"/>
    </row>
    <row r="589" ht="15.75" customHeight="1">
      <c r="G589" s="67"/>
    </row>
    <row r="590" ht="15.75" customHeight="1">
      <c r="G590" s="67"/>
    </row>
    <row r="591" ht="15.75" customHeight="1">
      <c r="G591" s="67"/>
    </row>
    <row r="592" ht="15.75" customHeight="1">
      <c r="G592" s="67"/>
    </row>
    <row r="593" ht="15.75" customHeight="1">
      <c r="G593" s="67"/>
    </row>
    <row r="594" ht="15.75" customHeight="1">
      <c r="G594" s="67"/>
    </row>
    <row r="595" ht="15.75" customHeight="1">
      <c r="G595" s="67"/>
    </row>
    <row r="596" ht="15.75" customHeight="1">
      <c r="G596" s="67"/>
    </row>
    <row r="597" ht="15.75" customHeight="1">
      <c r="G597" s="67"/>
    </row>
    <row r="598" ht="15.75" customHeight="1">
      <c r="G598" s="67"/>
    </row>
    <row r="599" ht="15.75" customHeight="1">
      <c r="G599" s="67"/>
    </row>
    <row r="600" ht="15.75" customHeight="1">
      <c r="G600" s="67"/>
    </row>
    <row r="601" ht="15.75" customHeight="1">
      <c r="G601" s="67"/>
    </row>
    <row r="602" ht="15.75" customHeight="1">
      <c r="G602" s="67"/>
    </row>
    <row r="603" ht="15.75" customHeight="1">
      <c r="G603" s="67"/>
    </row>
    <row r="604" ht="15.75" customHeight="1">
      <c r="G604" s="67"/>
    </row>
    <row r="605" ht="15.75" customHeight="1">
      <c r="G605" s="67"/>
    </row>
    <row r="606" ht="15.75" customHeight="1">
      <c r="G606" s="67"/>
    </row>
    <row r="607" ht="15.75" customHeight="1">
      <c r="G607" s="67"/>
    </row>
    <row r="608" ht="15.75" customHeight="1">
      <c r="G608" s="67"/>
    </row>
    <row r="609" ht="15.75" customHeight="1">
      <c r="G609" s="67"/>
    </row>
    <row r="610" ht="15.75" customHeight="1">
      <c r="G610" s="67"/>
    </row>
    <row r="611" ht="15.75" customHeight="1">
      <c r="G611" s="67"/>
    </row>
    <row r="612" ht="15.75" customHeight="1">
      <c r="G612" s="67"/>
    </row>
    <row r="613" ht="15.75" customHeight="1">
      <c r="G613" s="67"/>
    </row>
    <row r="614" ht="15.75" customHeight="1">
      <c r="G614" s="67"/>
    </row>
    <row r="615" ht="15.75" customHeight="1">
      <c r="G615" s="67"/>
    </row>
    <row r="616" ht="15.75" customHeight="1">
      <c r="G616" s="67"/>
    </row>
    <row r="617" ht="15.75" customHeight="1">
      <c r="G617" s="67"/>
    </row>
    <row r="618" ht="15.75" customHeight="1">
      <c r="G618" s="67"/>
    </row>
    <row r="619" ht="15.75" customHeight="1">
      <c r="G619" s="67"/>
    </row>
    <row r="620" ht="15.75" customHeight="1">
      <c r="G620" s="67"/>
    </row>
    <row r="621" ht="15.75" customHeight="1">
      <c r="G621" s="67"/>
    </row>
    <row r="622" ht="15.75" customHeight="1">
      <c r="G622" s="67"/>
    </row>
    <row r="623" ht="15.75" customHeight="1">
      <c r="G623" s="67"/>
    </row>
    <row r="624" ht="15.75" customHeight="1">
      <c r="G624" s="67"/>
    </row>
    <row r="625" ht="15.75" customHeight="1">
      <c r="G625" s="67"/>
    </row>
    <row r="626" ht="15.75" customHeight="1">
      <c r="G626" s="67"/>
    </row>
    <row r="627" ht="15.75" customHeight="1">
      <c r="G627" s="67"/>
    </row>
    <row r="628" ht="15.75" customHeight="1">
      <c r="G628" s="67"/>
    </row>
    <row r="629" ht="15.75" customHeight="1">
      <c r="G629" s="67"/>
    </row>
    <row r="630" ht="15.75" customHeight="1">
      <c r="G630" s="67"/>
    </row>
    <row r="631" ht="15.75" customHeight="1">
      <c r="G631" s="67"/>
    </row>
    <row r="632" ht="15.75" customHeight="1">
      <c r="G632" s="67"/>
    </row>
    <row r="633" ht="15.75" customHeight="1">
      <c r="G633" s="67"/>
    </row>
    <row r="634" ht="15.75" customHeight="1">
      <c r="G634" s="67"/>
    </row>
    <row r="635" ht="15.75" customHeight="1">
      <c r="G635" s="67"/>
    </row>
    <row r="636" ht="15.75" customHeight="1">
      <c r="G636" s="67"/>
    </row>
    <row r="637" ht="15.75" customHeight="1">
      <c r="G637" s="67"/>
    </row>
    <row r="638" ht="15.75" customHeight="1">
      <c r="G638" s="67"/>
    </row>
    <row r="639" ht="15.75" customHeight="1">
      <c r="G639" s="67"/>
    </row>
    <row r="640" ht="15.75" customHeight="1">
      <c r="G640" s="67"/>
    </row>
    <row r="641" ht="15.75" customHeight="1">
      <c r="G641" s="67"/>
    </row>
    <row r="642" ht="15.75" customHeight="1">
      <c r="G642" s="67"/>
    </row>
    <row r="643" ht="15.75" customHeight="1">
      <c r="G643" s="67"/>
    </row>
    <row r="644" ht="15.75" customHeight="1">
      <c r="G644" s="67"/>
    </row>
    <row r="645" ht="15.75" customHeight="1">
      <c r="G645" s="67"/>
    </row>
    <row r="646" ht="15.75" customHeight="1">
      <c r="G646" s="67"/>
    </row>
    <row r="647" ht="15.75" customHeight="1">
      <c r="G647" s="67"/>
    </row>
    <row r="648" ht="15.75" customHeight="1">
      <c r="G648" s="67"/>
    </row>
    <row r="649" ht="15.75" customHeight="1">
      <c r="G649" s="67"/>
    </row>
    <row r="650" ht="15.75" customHeight="1">
      <c r="G650" s="67"/>
    </row>
    <row r="651" ht="15.75" customHeight="1">
      <c r="G651" s="67"/>
    </row>
    <row r="652" ht="15.75" customHeight="1">
      <c r="G652" s="67"/>
    </row>
    <row r="653" ht="15.75" customHeight="1">
      <c r="G653" s="67"/>
    </row>
    <row r="654" ht="15.75" customHeight="1">
      <c r="G654" s="67"/>
    </row>
    <row r="655" ht="15.75" customHeight="1">
      <c r="G655" s="67"/>
    </row>
    <row r="656" ht="15.75" customHeight="1">
      <c r="G656" s="67"/>
    </row>
    <row r="657" ht="15.75" customHeight="1">
      <c r="G657" s="67"/>
    </row>
    <row r="658" ht="15.75" customHeight="1">
      <c r="G658" s="67"/>
    </row>
    <row r="659" ht="15.75" customHeight="1">
      <c r="G659" s="67"/>
    </row>
    <row r="660" ht="15.75" customHeight="1">
      <c r="G660" s="67"/>
    </row>
    <row r="661" ht="15.75" customHeight="1">
      <c r="G661" s="67"/>
    </row>
    <row r="662" ht="15.75" customHeight="1">
      <c r="G662" s="67"/>
    </row>
    <row r="663" ht="15.75" customHeight="1">
      <c r="G663" s="67"/>
    </row>
    <row r="664" ht="15.75" customHeight="1">
      <c r="G664" s="67"/>
    </row>
    <row r="665" ht="15.75" customHeight="1">
      <c r="G665" s="67"/>
    </row>
    <row r="666" ht="15.75" customHeight="1">
      <c r="G666" s="67"/>
    </row>
    <row r="667" ht="15.75" customHeight="1">
      <c r="G667" s="67"/>
    </row>
    <row r="668" ht="15.75" customHeight="1">
      <c r="G668" s="67"/>
    </row>
    <row r="669" ht="15.75" customHeight="1">
      <c r="G669" s="67"/>
    </row>
    <row r="670" ht="15.75" customHeight="1">
      <c r="G670" s="67"/>
    </row>
    <row r="671" ht="15.75" customHeight="1">
      <c r="G671" s="67"/>
    </row>
    <row r="672" ht="15.75" customHeight="1">
      <c r="G672" s="67"/>
    </row>
    <row r="673" ht="15.75" customHeight="1">
      <c r="G673" s="67"/>
    </row>
    <row r="674" ht="15.75" customHeight="1">
      <c r="G674" s="67"/>
    </row>
    <row r="675" ht="15.75" customHeight="1">
      <c r="G675" s="67"/>
    </row>
    <row r="676" ht="15.75" customHeight="1">
      <c r="G676" s="67"/>
    </row>
    <row r="677" ht="15.75" customHeight="1">
      <c r="G677" s="67"/>
    </row>
    <row r="678" ht="15.75" customHeight="1">
      <c r="G678" s="67"/>
    </row>
    <row r="679" ht="15.75" customHeight="1">
      <c r="G679" s="67"/>
    </row>
    <row r="680" ht="15.75" customHeight="1">
      <c r="G680" s="67"/>
    </row>
    <row r="681" ht="15.75" customHeight="1">
      <c r="G681" s="67"/>
    </row>
    <row r="682" ht="15.75" customHeight="1">
      <c r="G682" s="67"/>
    </row>
    <row r="683" ht="15.75" customHeight="1">
      <c r="G683" s="67"/>
    </row>
    <row r="684" ht="15.75" customHeight="1">
      <c r="G684" s="67"/>
    </row>
    <row r="685" ht="15.75" customHeight="1">
      <c r="G685" s="67"/>
    </row>
    <row r="686" ht="15.75" customHeight="1">
      <c r="G686" s="67"/>
    </row>
    <row r="687" ht="15.75" customHeight="1">
      <c r="G687" s="67"/>
    </row>
    <row r="688" ht="15.75" customHeight="1">
      <c r="G688" s="67"/>
    </row>
    <row r="689" ht="15.75" customHeight="1">
      <c r="G689" s="67"/>
    </row>
    <row r="690" ht="15.75" customHeight="1">
      <c r="G690" s="67"/>
    </row>
    <row r="691" ht="15.75" customHeight="1">
      <c r="G691" s="67"/>
    </row>
    <row r="692" ht="15.75" customHeight="1">
      <c r="G692" s="67"/>
    </row>
    <row r="693" ht="15.75" customHeight="1">
      <c r="G693" s="67"/>
    </row>
    <row r="694" ht="15.75" customHeight="1">
      <c r="G694" s="67"/>
    </row>
    <row r="695" ht="15.75" customHeight="1">
      <c r="G695" s="67"/>
    </row>
    <row r="696" ht="15.75" customHeight="1">
      <c r="G696" s="67"/>
    </row>
    <row r="697" ht="15.75" customHeight="1">
      <c r="G697" s="67"/>
    </row>
    <row r="698" ht="15.75" customHeight="1">
      <c r="G698" s="67"/>
    </row>
    <row r="699" ht="15.75" customHeight="1">
      <c r="G699" s="67"/>
    </row>
    <row r="700" ht="15.75" customHeight="1">
      <c r="G700" s="67"/>
    </row>
    <row r="701" ht="15.75" customHeight="1">
      <c r="G701" s="67"/>
    </row>
    <row r="702" ht="15.75" customHeight="1">
      <c r="G702" s="67"/>
    </row>
    <row r="703" ht="15.75" customHeight="1">
      <c r="G703" s="67"/>
    </row>
    <row r="704" ht="15.75" customHeight="1">
      <c r="G704" s="67"/>
    </row>
    <row r="705" ht="15.75" customHeight="1">
      <c r="G705" s="67"/>
    </row>
    <row r="706" ht="15.75" customHeight="1">
      <c r="G706" s="67"/>
    </row>
    <row r="707" ht="15.75" customHeight="1">
      <c r="G707" s="67"/>
    </row>
    <row r="708" ht="15.75" customHeight="1">
      <c r="G708" s="67"/>
    </row>
    <row r="709" ht="15.75" customHeight="1">
      <c r="G709" s="67"/>
    </row>
    <row r="710" ht="15.75" customHeight="1">
      <c r="G710" s="67"/>
    </row>
    <row r="711" ht="15.75" customHeight="1">
      <c r="G711" s="67"/>
    </row>
    <row r="712" ht="15.75" customHeight="1">
      <c r="G712" s="67"/>
    </row>
    <row r="713" ht="15.75" customHeight="1">
      <c r="G713" s="67"/>
    </row>
    <row r="714" ht="15.75" customHeight="1">
      <c r="G714" s="67"/>
    </row>
    <row r="715" ht="15.75" customHeight="1">
      <c r="G715" s="67"/>
    </row>
    <row r="716" ht="15.75" customHeight="1">
      <c r="G716" s="67"/>
    </row>
    <row r="717" ht="15.75" customHeight="1">
      <c r="G717" s="67"/>
    </row>
    <row r="718" ht="15.75" customHeight="1">
      <c r="G718" s="67"/>
    </row>
    <row r="719" ht="15.75" customHeight="1">
      <c r="G719" s="67"/>
    </row>
    <row r="720" ht="15.75" customHeight="1">
      <c r="G720" s="67"/>
    </row>
    <row r="721" ht="15.75" customHeight="1">
      <c r="G721" s="67"/>
    </row>
    <row r="722" ht="15.75" customHeight="1">
      <c r="G722" s="67"/>
    </row>
    <row r="723" ht="15.75" customHeight="1">
      <c r="G723" s="67"/>
    </row>
    <row r="724" ht="15.75" customHeight="1">
      <c r="G724" s="67"/>
    </row>
    <row r="725" ht="15.75" customHeight="1">
      <c r="G725" s="67"/>
    </row>
    <row r="726" ht="15.75" customHeight="1">
      <c r="G726" s="67"/>
    </row>
    <row r="727" ht="15.75" customHeight="1">
      <c r="G727" s="67"/>
    </row>
    <row r="728" ht="15.75" customHeight="1">
      <c r="G728" s="67"/>
    </row>
    <row r="729" ht="15.75" customHeight="1">
      <c r="G729" s="67"/>
    </row>
    <row r="730" ht="15.75" customHeight="1">
      <c r="G730" s="67"/>
    </row>
    <row r="731" ht="15.75" customHeight="1">
      <c r="G731" s="67"/>
    </row>
    <row r="732" ht="15.75" customHeight="1">
      <c r="G732" s="67"/>
    </row>
    <row r="733" ht="15.75" customHeight="1">
      <c r="G733" s="67"/>
    </row>
    <row r="734" ht="15.75" customHeight="1">
      <c r="G734" s="67"/>
    </row>
    <row r="735" ht="15.75" customHeight="1">
      <c r="G735" s="67"/>
    </row>
    <row r="736" ht="15.75" customHeight="1">
      <c r="G736" s="67"/>
    </row>
    <row r="737" ht="15.75" customHeight="1">
      <c r="G737" s="67"/>
    </row>
    <row r="738" ht="15.75" customHeight="1">
      <c r="G738" s="67"/>
    </row>
    <row r="739" ht="15.75" customHeight="1">
      <c r="G739" s="67"/>
    </row>
    <row r="740" ht="15.75" customHeight="1">
      <c r="G740" s="67"/>
    </row>
    <row r="741" ht="15.75" customHeight="1">
      <c r="G741" s="67"/>
    </row>
    <row r="742" ht="15.75" customHeight="1">
      <c r="G742" s="67"/>
    </row>
    <row r="743" ht="15.75" customHeight="1">
      <c r="G743" s="67"/>
    </row>
    <row r="744" ht="15.75" customHeight="1">
      <c r="G744" s="67"/>
    </row>
    <row r="745" ht="15.75" customHeight="1">
      <c r="G745" s="67"/>
    </row>
    <row r="746" ht="15.75" customHeight="1">
      <c r="G746" s="67"/>
    </row>
    <row r="747" ht="15.75" customHeight="1">
      <c r="G747" s="67"/>
    </row>
    <row r="748" ht="15.75" customHeight="1">
      <c r="G748" s="67"/>
    </row>
    <row r="749" ht="15.75" customHeight="1">
      <c r="G749" s="67"/>
    </row>
    <row r="750" ht="15.75" customHeight="1">
      <c r="G750" s="67"/>
    </row>
    <row r="751" ht="15.75" customHeight="1">
      <c r="G751" s="67"/>
    </row>
    <row r="752" ht="15.75" customHeight="1">
      <c r="G752" s="67"/>
    </row>
    <row r="753" ht="15.75" customHeight="1">
      <c r="G753" s="67"/>
    </row>
    <row r="754" ht="15.75" customHeight="1">
      <c r="G754" s="67"/>
    </row>
    <row r="755" ht="15.75" customHeight="1">
      <c r="G755" s="67"/>
    </row>
    <row r="756" ht="15.75" customHeight="1">
      <c r="G756" s="67"/>
    </row>
    <row r="757" ht="15.75" customHeight="1">
      <c r="G757" s="67"/>
    </row>
    <row r="758" ht="15.75" customHeight="1">
      <c r="G758" s="67"/>
    </row>
    <row r="759" ht="15.75" customHeight="1">
      <c r="G759" s="67"/>
    </row>
    <row r="760" ht="15.75" customHeight="1">
      <c r="G760" s="67"/>
    </row>
    <row r="761" ht="15.75" customHeight="1">
      <c r="G761" s="67"/>
    </row>
    <row r="762" ht="15.75" customHeight="1">
      <c r="G762" s="67"/>
    </row>
    <row r="763" ht="15.75" customHeight="1">
      <c r="G763" s="67"/>
    </row>
    <row r="764" ht="15.75" customHeight="1">
      <c r="G764" s="67"/>
    </row>
    <row r="765" ht="15.75" customHeight="1">
      <c r="G765" s="67"/>
    </row>
    <row r="766" ht="15.75" customHeight="1">
      <c r="G766" s="67"/>
    </row>
    <row r="767" ht="15.75" customHeight="1">
      <c r="G767" s="67"/>
    </row>
    <row r="768" ht="15.75" customHeight="1">
      <c r="G768" s="67"/>
    </row>
    <row r="769" ht="15.75" customHeight="1">
      <c r="G769" s="67"/>
    </row>
    <row r="770" ht="15.75" customHeight="1">
      <c r="G770" s="67"/>
    </row>
    <row r="771" ht="15.75" customHeight="1">
      <c r="G771" s="67"/>
    </row>
    <row r="772" ht="15.75" customHeight="1">
      <c r="G772" s="67"/>
    </row>
    <row r="773" ht="15.75" customHeight="1">
      <c r="G773" s="67"/>
    </row>
    <row r="774" ht="15.75" customHeight="1">
      <c r="G774" s="67"/>
    </row>
    <row r="775" ht="15.75" customHeight="1">
      <c r="G775" s="67"/>
    </row>
    <row r="776" ht="15.75" customHeight="1">
      <c r="G776" s="67"/>
    </row>
    <row r="777" ht="15.75" customHeight="1">
      <c r="G777" s="67"/>
    </row>
    <row r="778" ht="15.75" customHeight="1">
      <c r="G778" s="67"/>
    </row>
    <row r="779" ht="15.75" customHeight="1">
      <c r="G779" s="67"/>
    </row>
    <row r="780" ht="15.75" customHeight="1">
      <c r="G780" s="67"/>
    </row>
    <row r="781" ht="15.75" customHeight="1">
      <c r="G781" s="67"/>
    </row>
    <row r="782" ht="15.75" customHeight="1">
      <c r="G782" s="67"/>
    </row>
    <row r="783" ht="15.75" customHeight="1">
      <c r="G783" s="67"/>
    </row>
    <row r="784" ht="15.75" customHeight="1">
      <c r="G784" s="67"/>
    </row>
    <row r="785" ht="15.75" customHeight="1">
      <c r="G785" s="67"/>
    </row>
    <row r="786" ht="15.75" customHeight="1">
      <c r="G786" s="67"/>
    </row>
    <row r="787" ht="15.75" customHeight="1">
      <c r="G787" s="67"/>
    </row>
    <row r="788" ht="15.75" customHeight="1">
      <c r="G788" s="67"/>
    </row>
    <row r="789" ht="15.75" customHeight="1">
      <c r="G789" s="67"/>
    </row>
    <row r="790" ht="15.75" customHeight="1">
      <c r="G790" s="67"/>
    </row>
    <row r="791" ht="15.75" customHeight="1">
      <c r="G791" s="67"/>
    </row>
    <row r="792" ht="15.75" customHeight="1">
      <c r="G792" s="67"/>
    </row>
    <row r="793" ht="15.75" customHeight="1">
      <c r="G793" s="67"/>
    </row>
    <row r="794" ht="15.75" customHeight="1">
      <c r="G794" s="67"/>
    </row>
    <row r="795" ht="15.75" customHeight="1">
      <c r="G795" s="67"/>
    </row>
    <row r="796" ht="15.75" customHeight="1">
      <c r="G796" s="67"/>
    </row>
    <row r="797" ht="15.75" customHeight="1">
      <c r="G797" s="67"/>
    </row>
    <row r="798" ht="15.75" customHeight="1">
      <c r="G798" s="67"/>
    </row>
    <row r="799" ht="15.75" customHeight="1">
      <c r="G799" s="67"/>
    </row>
    <row r="800" ht="15.75" customHeight="1">
      <c r="G800" s="67"/>
    </row>
    <row r="801" ht="15.75" customHeight="1">
      <c r="G801" s="67"/>
    </row>
    <row r="802" ht="15.75" customHeight="1">
      <c r="G802" s="67"/>
    </row>
    <row r="803" ht="15.75" customHeight="1">
      <c r="G803" s="67"/>
    </row>
    <row r="804" ht="15.75" customHeight="1">
      <c r="G804" s="67"/>
    </row>
    <row r="805" ht="15.75" customHeight="1">
      <c r="G805" s="67"/>
    </row>
    <row r="806" ht="15.75" customHeight="1">
      <c r="G806" s="67"/>
    </row>
    <row r="807" ht="15.75" customHeight="1">
      <c r="G807" s="67"/>
    </row>
    <row r="808" ht="15.75" customHeight="1">
      <c r="G808" s="67"/>
    </row>
    <row r="809" ht="15.75" customHeight="1">
      <c r="G809" s="67"/>
    </row>
    <row r="810" ht="15.75" customHeight="1">
      <c r="G810" s="67"/>
    </row>
    <row r="811" ht="15.75" customHeight="1">
      <c r="G811" s="67"/>
    </row>
    <row r="812" ht="15.75" customHeight="1">
      <c r="G812" s="67"/>
    </row>
    <row r="813" ht="15.75" customHeight="1">
      <c r="G813" s="67"/>
    </row>
    <row r="814" ht="15.75" customHeight="1">
      <c r="G814" s="67"/>
    </row>
    <row r="815" ht="15.75" customHeight="1">
      <c r="G815" s="67"/>
    </row>
    <row r="816" ht="15.75" customHeight="1">
      <c r="G816" s="67"/>
    </row>
    <row r="817" ht="15.75" customHeight="1">
      <c r="G817" s="67"/>
    </row>
    <row r="818" ht="15.75" customHeight="1">
      <c r="G818" s="67"/>
    </row>
    <row r="819" ht="15.75" customHeight="1">
      <c r="G819" s="67"/>
    </row>
    <row r="820" ht="15.75" customHeight="1">
      <c r="G820" s="67"/>
    </row>
    <row r="821" ht="15.75" customHeight="1">
      <c r="G821" s="67"/>
    </row>
    <row r="822" ht="15.75" customHeight="1">
      <c r="G822" s="67"/>
    </row>
    <row r="823" ht="15.75" customHeight="1">
      <c r="G823" s="67"/>
    </row>
    <row r="824" ht="15.75" customHeight="1">
      <c r="G824" s="67"/>
    </row>
    <row r="825" ht="15.75" customHeight="1">
      <c r="G825" s="67"/>
    </row>
    <row r="826" ht="15.75" customHeight="1">
      <c r="G826" s="67"/>
    </row>
    <row r="827" ht="15.75" customHeight="1">
      <c r="G827" s="67"/>
    </row>
    <row r="828" ht="15.75" customHeight="1">
      <c r="G828" s="67"/>
    </row>
    <row r="829" ht="15.75" customHeight="1">
      <c r="G829" s="67"/>
    </row>
    <row r="830" ht="15.75" customHeight="1">
      <c r="G830" s="67"/>
    </row>
    <row r="831" ht="15.75" customHeight="1">
      <c r="G831" s="67"/>
    </row>
    <row r="832" ht="15.75" customHeight="1">
      <c r="G832" s="67"/>
    </row>
    <row r="833" ht="15.75" customHeight="1">
      <c r="G833" s="67"/>
    </row>
    <row r="834" ht="15.75" customHeight="1">
      <c r="G834" s="67"/>
    </row>
    <row r="835" ht="15.75" customHeight="1">
      <c r="G835" s="67"/>
    </row>
    <row r="836" ht="15.75" customHeight="1">
      <c r="G836" s="67"/>
    </row>
    <row r="837" ht="15.75" customHeight="1">
      <c r="G837" s="67"/>
    </row>
    <row r="838" ht="15.75" customHeight="1">
      <c r="G838" s="67"/>
    </row>
    <row r="839" ht="15.75" customHeight="1">
      <c r="G839" s="67"/>
    </row>
    <row r="840" ht="15.75" customHeight="1">
      <c r="G840" s="67"/>
    </row>
    <row r="841" ht="15.75" customHeight="1">
      <c r="G841" s="67"/>
    </row>
    <row r="842" ht="15.75" customHeight="1">
      <c r="G842" s="67"/>
    </row>
    <row r="843" ht="15.75" customHeight="1">
      <c r="G843" s="67"/>
    </row>
    <row r="844" ht="15.75" customHeight="1">
      <c r="G844" s="67"/>
    </row>
    <row r="845" ht="15.75" customHeight="1">
      <c r="G845" s="67"/>
    </row>
    <row r="846" ht="15.75" customHeight="1">
      <c r="G846" s="67"/>
    </row>
    <row r="847" ht="15.75" customHeight="1">
      <c r="G847" s="67"/>
    </row>
    <row r="848" ht="15.75" customHeight="1">
      <c r="G848" s="67"/>
    </row>
    <row r="849" ht="15.75" customHeight="1">
      <c r="G849" s="67"/>
    </row>
    <row r="850" ht="15.75" customHeight="1">
      <c r="G850" s="67"/>
    </row>
    <row r="851" ht="15.75" customHeight="1">
      <c r="G851" s="67"/>
    </row>
    <row r="852" ht="15.75" customHeight="1">
      <c r="G852" s="67"/>
    </row>
    <row r="853" ht="15.75" customHeight="1">
      <c r="G853" s="67"/>
    </row>
    <row r="854" ht="15.75" customHeight="1">
      <c r="G854" s="67"/>
    </row>
    <row r="855" ht="15.75" customHeight="1">
      <c r="G855" s="67"/>
    </row>
    <row r="856" ht="15.75" customHeight="1">
      <c r="G856" s="67"/>
    </row>
    <row r="857" ht="15.75" customHeight="1">
      <c r="G857" s="67"/>
    </row>
    <row r="858" ht="15.75" customHeight="1">
      <c r="G858" s="67"/>
    </row>
    <row r="859" ht="15.75" customHeight="1">
      <c r="G859" s="67"/>
    </row>
    <row r="860" ht="15.75" customHeight="1">
      <c r="G860" s="67"/>
    </row>
    <row r="861" ht="15.75" customHeight="1">
      <c r="G861" s="67"/>
    </row>
    <row r="862" ht="15.75" customHeight="1">
      <c r="G862" s="67"/>
    </row>
    <row r="863" ht="15.75" customHeight="1">
      <c r="G863" s="67"/>
    </row>
    <row r="864" ht="15.75" customHeight="1">
      <c r="G864" s="67"/>
    </row>
    <row r="865" ht="15.75" customHeight="1">
      <c r="G865" s="67"/>
    </row>
    <row r="866" ht="15.75" customHeight="1">
      <c r="G866" s="67"/>
    </row>
    <row r="867" ht="15.75" customHeight="1">
      <c r="G867" s="67"/>
    </row>
    <row r="868" ht="15.75" customHeight="1">
      <c r="G868" s="67"/>
    </row>
    <row r="869" ht="15.75" customHeight="1">
      <c r="G869" s="67"/>
    </row>
    <row r="870" ht="15.75" customHeight="1">
      <c r="G870" s="67"/>
    </row>
    <row r="871" ht="15.75" customHeight="1">
      <c r="G871" s="67"/>
    </row>
    <row r="872" ht="15.75" customHeight="1">
      <c r="G872" s="67"/>
    </row>
    <row r="873" ht="15.75" customHeight="1">
      <c r="G873" s="67"/>
    </row>
    <row r="874" ht="15.75" customHeight="1">
      <c r="G874" s="67"/>
    </row>
    <row r="875" ht="15.75" customHeight="1">
      <c r="G875" s="67"/>
    </row>
    <row r="876" ht="15.75" customHeight="1">
      <c r="G876" s="67"/>
    </row>
    <row r="877" ht="15.75" customHeight="1">
      <c r="G877" s="67"/>
    </row>
    <row r="878" ht="15.75" customHeight="1">
      <c r="G878" s="67"/>
    </row>
    <row r="879" ht="15.75" customHeight="1">
      <c r="G879" s="67"/>
    </row>
    <row r="880" ht="15.75" customHeight="1">
      <c r="G880" s="67"/>
    </row>
    <row r="881" ht="15.75" customHeight="1">
      <c r="G881" s="67"/>
    </row>
    <row r="882" ht="15.75" customHeight="1">
      <c r="G882" s="67"/>
    </row>
    <row r="883" ht="15.75" customHeight="1">
      <c r="G883" s="67"/>
    </row>
    <row r="884" ht="15.75" customHeight="1">
      <c r="G884" s="67"/>
    </row>
    <row r="885" ht="15.75" customHeight="1">
      <c r="G885" s="67"/>
    </row>
    <row r="886" ht="15.75" customHeight="1">
      <c r="G886" s="67"/>
    </row>
    <row r="887" ht="15.75" customHeight="1">
      <c r="G887" s="67"/>
    </row>
    <row r="888" ht="15.75" customHeight="1">
      <c r="G888" s="67"/>
    </row>
    <row r="889" ht="15.75" customHeight="1">
      <c r="G889" s="67"/>
    </row>
    <row r="890" ht="15.75" customHeight="1">
      <c r="G890" s="67"/>
    </row>
    <row r="891" ht="15.75" customHeight="1">
      <c r="G891" s="67"/>
    </row>
    <row r="892" ht="15.75" customHeight="1">
      <c r="G892" s="67"/>
    </row>
    <row r="893" ht="15.75" customHeight="1">
      <c r="G893" s="67"/>
    </row>
    <row r="894" ht="15.75" customHeight="1">
      <c r="G894" s="67"/>
    </row>
    <row r="895" ht="15.75" customHeight="1">
      <c r="G895" s="67"/>
    </row>
    <row r="896" ht="15.75" customHeight="1">
      <c r="G896" s="67"/>
    </row>
    <row r="897" ht="15.75" customHeight="1">
      <c r="G897" s="67"/>
    </row>
    <row r="898" ht="15.75" customHeight="1">
      <c r="G898" s="67"/>
    </row>
    <row r="899" ht="15.75" customHeight="1">
      <c r="G899" s="67"/>
    </row>
    <row r="900" ht="15.75" customHeight="1">
      <c r="G900" s="67"/>
    </row>
    <row r="901" ht="15.75" customHeight="1">
      <c r="G901" s="67"/>
    </row>
    <row r="902" ht="15.75" customHeight="1">
      <c r="G902" s="67"/>
    </row>
    <row r="903" ht="15.75" customHeight="1">
      <c r="G903" s="67"/>
    </row>
    <row r="904" ht="15.75" customHeight="1">
      <c r="G904" s="67"/>
    </row>
    <row r="905" ht="15.75" customHeight="1">
      <c r="G905" s="67"/>
    </row>
    <row r="906" ht="15.75" customHeight="1">
      <c r="G906" s="67"/>
    </row>
    <row r="907" ht="15.75" customHeight="1">
      <c r="G907" s="67"/>
    </row>
    <row r="908" ht="15.75" customHeight="1">
      <c r="G908" s="67"/>
    </row>
    <row r="909" ht="15.75" customHeight="1">
      <c r="G909" s="67"/>
    </row>
    <row r="910" ht="15.75" customHeight="1">
      <c r="G910" s="67"/>
    </row>
    <row r="911" ht="15.75" customHeight="1">
      <c r="G911" s="67"/>
    </row>
    <row r="912" ht="15.75" customHeight="1">
      <c r="G912" s="67"/>
    </row>
    <row r="913" ht="15.75" customHeight="1">
      <c r="G913" s="67"/>
    </row>
    <row r="914" ht="15.75" customHeight="1">
      <c r="G914" s="67"/>
    </row>
    <row r="915" ht="15.75" customHeight="1">
      <c r="G915" s="67"/>
    </row>
    <row r="916" ht="15.75" customHeight="1">
      <c r="G916" s="67"/>
    </row>
    <row r="917" ht="15.75" customHeight="1">
      <c r="G917" s="67"/>
    </row>
    <row r="918" ht="15.75" customHeight="1">
      <c r="G918" s="67"/>
    </row>
    <row r="919" ht="15.75" customHeight="1">
      <c r="G919" s="67"/>
    </row>
    <row r="920" ht="15.75" customHeight="1">
      <c r="G920" s="67"/>
    </row>
    <row r="921" ht="15.75" customHeight="1">
      <c r="G921" s="67"/>
    </row>
    <row r="922" ht="15.75" customHeight="1">
      <c r="G922" s="67"/>
    </row>
    <row r="923" ht="15.75" customHeight="1">
      <c r="G923" s="67"/>
    </row>
    <row r="924" ht="15.75" customHeight="1">
      <c r="G924" s="67"/>
    </row>
    <row r="925" ht="15.75" customHeight="1">
      <c r="G925" s="67"/>
    </row>
    <row r="926" ht="15.75" customHeight="1">
      <c r="G926" s="67"/>
    </row>
    <row r="927" ht="15.75" customHeight="1">
      <c r="G927" s="67"/>
    </row>
    <row r="928" ht="15.75" customHeight="1">
      <c r="G928" s="67"/>
    </row>
    <row r="929" ht="15.75" customHeight="1">
      <c r="G929" s="67"/>
    </row>
    <row r="930" ht="15.75" customHeight="1">
      <c r="G930" s="67"/>
    </row>
    <row r="931" ht="15.75" customHeight="1">
      <c r="G931" s="67"/>
    </row>
    <row r="932" ht="15.75" customHeight="1">
      <c r="G932" s="67"/>
    </row>
    <row r="933" ht="15.75" customHeight="1">
      <c r="G933" s="67"/>
    </row>
    <row r="934" ht="15.75" customHeight="1">
      <c r="G934" s="67"/>
    </row>
    <row r="935" ht="15.75" customHeight="1">
      <c r="G935" s="67"/>
    </row>
    <row r="936" ht="15.75" customHeight="1">
      <c r="G936" s="67"/>
    </row>
    <row r="937" ht="15.75" customHeight="1">
      <c r="G937" s="67"/>
    </row>
    <row r="938" ht="15.75" customHeight="1">
      <c r="G938" s="67"/>
    </row>
    <row r="939" ht="15.75" customHeight="1">
      <c r="G939" s="67"/>
    </row>
    <row r="940" ht="15.75" customHeight="1">
      <c r="G940" s="67"/>
    </row>
    <row r="941" ht="15.75" customHeight="1">
      <c r="G941" s="67"/>
    </row>
    <row r="942" ht="15.75" customHeight="1">
      <c r="G942" s="67"/>
    </row>
    <row r="943" ht="15.75" customHeight="1">
      <c r="G943" s="67"/>
    </row>
    <row r="944" ht="15.75" customHeight="1">
      <c r="G944" s="67"/>
    </row>
    <row r="945" ht="15.75" customHeight="1">
      <c r="G945" s="67"/>
    </row>
    <row r="946" ht="15.75" customHeight="1">
      <c r="G946" s="67"/>
    </row>
    <row r="947" ht="15.75" customHeight="1">
      <c r="G947" s="67"/>
    </row>
    <row r="948" ht="15.75" customHeight="1">
      <c r="G948" s="67"/>
    </row>
    <row r="949" ht="15.75" customHeight="1">
      <c r="G949" s="67"/>
    </row>
    <row r="950" ht="15.75" customHeight="1">
      <c r="G950" s="67"/>
    </row>
    <row r="951" ht="15.75" customHeight="1">
      <c r="G951" s="67"/>
    </row>
    <row r="952" ht="15.75" customHeight="1">
      <c r="G952" s="67"/>
    </row>
    <row r="953" ht="15.75" customHeight="1">
      <c r="G953" s="67"/>
    </row>
    <row r="954" ht="15.75" customHeight="1">
      <c r="G954" s="67"/>
    </row>
    <row r="955" ht="15.75" customHeight="1">
      <c r="G955" s="67"/>
    </row>
    <row r="956" ht="15.75" customHeight="1">
      <c r="G956" s="67"/>
    </row>
    <row r="957" ht="15.75" customHeight="1">
      <c r="G957" s="67"/>
    </row>
    <row r="958" ht="15.75" customHeight="1">
      <c r="G958" s="67"/>
    </row>
    <row r="959" ht="15.75" customHeight="1">
      <c r="G959" s="67"/>
    </row>
    <row r="960" ht="15.75" customHeight="1">
      <c r="G960" s="67"/>
    </row>
    <row r="961" ht="15.75" customHeight="1">
      <c r="G961" s="67"/>
    </row>
    <row r="962" ht="15.75" customHeight="1">
      <c r="G962" s="67"/>
    </row>
    <row r="963" ht="15.75" customHeight="1">
      <c r="G963" s="67"/>
    </row>
    <row r="964" ht="15.75" customHeight="1">
      <c r="G964" s="67"/>
    </row>
    <row r="965" ht="15.75" customHeight="1">
      <c r="G965" s="67"/>
    </row>
    <row r="966" ht="15.75" customHeight="1">
      <c r="G966" s="67"/>
    </row>
    <row r="967" ht="15.75" customHeight="1">
      <c r="G967" s="67"/>
    </row>
    <row r="968" ht="15.75" customHeight="1">
      <c r="G968" s="67"/>
    </row>
    <row r="969" ht="15.75" customHeight="1">
      <c r="G969" s="67"/>
    </row>
    <row r="970" ht="15.75" customHeight="1">
      <c r="G970" s="67"/>
    </row>
    <row r="971" ht="15.75" customHeight="1">
      <c r="G971" s="67"/>
    </row>
    <row r="972" ht="15.75" customHeight="1">
      <c r="G972" s="67"/>
    </row>
    <row r="973" ht="15.75" customHeight="1">
      <c r="G973" s="67"/>
    </row>
    <row r="974" ht="15.75" customHeight="1">
      <c r="G974" s="67"/>
    </row>
    <row r="975" ht="15.75" customHeight="1">
      <c r="G975" s="67"/>
    </row>
    <row r="976" ht="15.75" customHeight="1">
      <c r="G976" s="67"/>
    </row>
    <row r="977" ht="15.75" customHeight="1">
      <c r="G977" s="67"/>
    </row>
    <row r="978" ht="15.75" customHeight="1">
      <c r="G978" s="67"/>
    </row>
    <row r="979" ht="15.75" customHeight="1">
      <c r="G979" s="67"/>
    </row>
    <row r="980" ht="15.75" customHeight="1">
      <c r="G980" s="67"/>
    </row>
    <row r="981" ht="15.75" customHeight="1">
      <c r="G981" s="67"/>
    </row>
    <row r="982" ht="15.75" customHeight="1">
      <c r="G982" s="67"/>
    </row>
    <row r="983" ht="15.75" customHeight="1">
      <c r="G983" s="67"/>
    </row>
    <row r="984" ht="15.75" customHeight="1">
      <c r="G984" s="67"/>
    </row>
    <row r="985" ht="15.75" customHeight="1">
      <c r="G985" s="67"/>
    </row>
    <row r="986" ht="15.75" customHeight="1">
      <c r="G986" s="67"/>
    </row>
    <row r="987" ht="15.75" customHeight="1">
      <c r="G987" s="67"/>
    </row>
    <row r="988" ht="15.75" customHeight="1">
      <c r="G988" s="67"/>
    </row>
    <row r="989" ht="15.75" customHeight="1">
      <c r="G989" s="67"/>
    </row>
    <row r="990" ht="15.75" customHeight="1">
      <c r="G990" s="67"/>
    </row>
    <row r="991" ht="15.75" customHeight="1">
      <c r="G991" s="67"/>
    </row>
    <row r="992" ht="15.75" customHeight="1">
      <c r="G992" s="67"/>
    </row>
    <row r="993" ht="15.75" customHeight="1">
      <c r="G993" s="67"/>
    </row>
    <row r="994" ht="15.75" customHeight="1">
      <c r="G994" s="67"/>
    </row>
    <row r="995" ht="15.75" customHeight="1">
      <c r="G995" s="67"/>
    </row>
    <row r="996" ht="15.75" customHeight="1">
      <c r="G996" s="67"/>
    </row>
    <row r="997" ht="15.75" customHeight="1">
      <c r="G997" s="67"/>
    </row>
    <row r="998" ht="15.75" customHeight="1">
      <c r="G998" s="67"/>
    </row>
    <row r="999" ht="15.75" customHeight="1">
      <c r="G999" s="67"/>
    </row>
    <row r="1000" ht="15.75" customHeight="1">
      <c r="G1000" s="6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12.63"/>
    <col customWidth="1" min="4" max="4" width="13.13"/>
    <col customWidth="1" min="5" max="6" width="12.63"/>
  </cols>
  <sheetData>
    <row r="1" ht="15.75" customHeight="1">
      <c r="A1" s="68" t="s">
        <v>4</v>
      </c>
      <c r="B1" s="68" t="s">
        <v>5</v>
      </c>
      <c r="C1" s="69" t="s">
        <v>6</v>
      </c>
      <c r="D1" s="68" t="s">
        <v>7</v>
      </c>
      <c r="E1" s="68" t="s">
        <v>8</v>
      </c>
      <c r="F1" s="68" t="s">
        <v>9</v>
      </c>
      <c r="G1" s="68" t="s">
        <v>10</v>
      </c>
      <c r="H1" s="68" t="s">
        <v>11</v>
      </c>
      <c r="I1" s="68" t="s">
        <v>89</v>
      </c>
      <c r="J1" s="68" t="s">
        <v>90</v>
      </c>
      <c r="K1" s="68" t="s">
        <v>91</v>
      </c>
      <c r="AB1" s="10" t="s">
        <v>64</v>
      </c>
    </row>
    <row r="2" ht="15.75" customHeight="1">
      <c r="A2" s="10">
        <v>1001.0</v>
      </c>
      <c r="B2" s="10" t="s">
        <v>92</v>
      </c>
      <c r="C2" s="11">
        <f t="shared" ref="C2:C54" si="1">today()-AB2</f>
        <v>46087</v>
      </c>
      <c r="D2" s="10" t="s">
        <v>93</v>
      </c>
      <c r="E2" s="10" t="s">
        <v>94</v>
      </c>
      <c r="F2" s="10" t="s">
        <v>49</v>
      </c>
      <c r="G2" s="10">
        <v>350.0</v>
      </c>
      <c r="H2" s="10">
        <v>800.0</v>
      </c>
      <c r="I2" s="10" t="s">
        <v>95</v>
      </c>
      <c r="J2" s="10" t="s">
        <v>95</v>
      </c>
      <c r="AB2" s="10">
        <v>60.0</v>
      </c>
    </row>
    <row r="3" ht="15.75" customHeight="1">
      <c r="A3" s="10">
        <v>1002.0</v>
      </c>
      <c r="B3" s="10" t="s">
        <v>96</v>
      </c>
      <c r="C3" s="11">
        <f t="shared" si="1"/>
        <v>46087</v>
      </c>
      <c r="D3" s="10" t="s">
        <v>97</v>
      </c>
      <c r="E3" s="10" t="s">
        <v>98</v>
      </c>
      <c r="F3" s="10" t="s">
        <v>53</v>
      </c>
      <c r="G3" s="10">
        <v>180.0</v>
      </c>
      <c r="H3" s="10">
        <v>400.0</v>
      </c>
      <c r="I3" s="10" t="s">
        <v>95</v>
      </c>
      <c r="AB3" s="10">
        <v>60.0</v>
      </c>
    </row>
    <row r="4" ht="15.75" customHeight="1">
      <c r="A4" s="10">
        <v>1003.0</v>
      </c>
      <c r="B4" s="10" t="s">
        <v>92</v>
      </c>
      <c r="C4" s="11">
        <f t="shared" si="1"/>
        <v>46088</v>
      </c>
      <c r="D4" s="10" t="s">
        <v>99</v>
      </c>
      <c r="E4" s="10" t="s">
        <v>100</v>
      </c>
      <c r="F4" s="10" t="s">
        <v>49</v>
      </c>
      <c r="G4" s="10">
        <v>350.0</v>
      </c>
      <c r="H4" s="10">
        <v>800.0</v>
      </c>
      <c r="I4" s="10" t="s">
        <v>95</v>
      </c>
      <c r="J4" s="10" t="s">
        <v>95</v>
      </c>
      <c r="AB4" s="10">
        <v>59.0</v>
      </c>
    </row>
    <row r="5" ht="15.75" customHeight="1">
      <c r="A5" s="10">
        <v>1004.0</v>
      </c>
      <c r="B5" s="10" t="s">
        <v>96</v>
      </c>
      <c r="C5" s="11">
        <f t="shared" si="1"/>
        <v>46091</v>
      </c>
      <c r="D5" s="10" t="s">
        <v>101</v>
      </c>
      <c r="E5" s="10" t="s">
        <v>102</v>
      </c>
      <c r="F5" s="10" t="s">
        <v>44</v>
      </c>
      <c r="G5" s="10">
        <v>200.0</v>
      </c>
      <c r="H5" s="10">
        <v>400.0</v>
      </c>
      <c r="I5" s="10" t="s">
        <v>95</v>
      </c>
      <c r="AB5" s="10">
        <v>56.0</v>
      </c>
    </row>
    <row r="6" ht="15.75" customHeight="1">
      <c r="A6" s="10">
        <v>1005.0</v>
      </c>
      <c r="B6" s="10" t="s">
        <v>96</v>
      </c>
      <c r="C6" s="11">
        <f t="shared" si="1"/>
        <v>46093</v>
      </c>
      <c r="D6" s="10" t="s">
        <v>103</v>
      </c>
      <c r="E6" s="10" t="s">
        <v>104</v>
      </c>
      <c r="F6" s="10" t="s">
        <v>50</v>
      </c>
      <c r="G6" s="10">
        <v>100.0</v>
      </c>
      <c r="H6" s="10">
        <v>200.0</v>
      </c>
      <c r="I6" s="10" t="s">
        <v>95</v>
      </c>
      <c r="AB6" s="10">
        <v>54.0</v>
      </c>
    </row>
    <row r="7" ht="15.75" customHeight="1">
      <c r="A7" s="10">
        <v>1006.0</v>
      </c>
      <c r="B7" s="10" t="s">
        <v>96</v>
      </c>
      <c r="C7" s="11">
        <f t="shared" si="1"/>
        <v>46095</v>
      </c>
      <c r="D7" s="10" t="s">
        <v>105</v>
      </c>
      <c r="E7" s="10" t="s">
        <v>106</v>
      </c>
      <c r="F7" s="10" t="s">
        <v>42</v>
      </c>
      <c r="G7" s="10">
        <v>240.0</v>
      </c>
      <c r="H7" s="10">
        <v>600.0</v>
      </c>
      <c r="I7" s="10" t="s">
        <v>95</v>
      </c>
      <c r="AB7" s="10">
        <v>52.0</v>
      </c>
    </row>
    <row r="8" ht="15.75" customHeight="1">
      <c r="A8" s="10">
        <v>1007.0</v>
      </c>
      <c r="B8" s="10" t="s">
        <v>96</v>
      </c>
      <c r="C8" s="11">
        <f t="shared" si="1"/>
        <v>46097</v>
      </c>
      <c r="D8" s="10" t="s">
        <v>107</v>
      </c>
      <c r="E8" s="10" t="s">
        <v>108</v>
      </c>
      <c r="F8" s="10" t="s">
        <v>44</v>
      </c>
      <c r="G8" s="10">
        <v>200.0</v>
      </c>
      <c r="H8" s="10">
        <v>400.0</v>
      </c>
      <c r="I8" s="10" t="s">
        <v>95</v>
      </c>
      <c r="AB8" s="10">
        <v>50.0</v>
      </c>
    </row>
    <row r="9" ht="15.75" customHeight="1">
      <c r="A9" s="10">
        <v>1008.0</v>
      </c>
      <c r="B9" s="10" t="s">
        <v>96</v>
      </c>
      <c r="C9" s="11">
        <f t="shared" si="1"/>
        <v>46098</v>
      </c>
      <c r="D9" s="10" t="s">
        <v>109</v>
      </c>
      <c r="E9" s="10" t="s">
        <v>110</v>
      </c>
      <c r="F9" s="10" t="s">
        <v>46</v>
      </c>
      <c r="G9" s="10">
        <v>120.0</v>
      </c>
      <c r="H9" s="10">
        <v>300.0</v>
      </c>
      <c r="I9" s="10" t="s">
        <v>95</v>
      </c>
      <c r="AB9" s="10">
        <v>49.0</v>
      </c>
    </row>
    <row r="10" ht="15.75" customHeight="1">
      <c r="A10" s="10">
        <v>1009.0</v>
      </c>
      <c r="B10" s="10" t="s">
        <v>96</v>
      </c>
      <c r="C10" s="11">
        <f t="shared" si="1"/>
        <v>46099</v>
      </c>
      <c r="D10" s="10" t="s">
        <v>111</v>
      </c>
      <c r="E10" s="10" t="s">
        <v>112</v>
      </c>
      <c r="F10" s="10" t="s">
        <v>44</v>
      </c>
      <c r="G10" s="10">
        <v>200.0</v>
      </c>
      <c r="H10" s="10">
        <v>400.0</v>
      </c>
      <c r="I10" s="10" t="s">
        <v>95</v>
      </c>
      <c r="AB10" s="10">
        <v>48.0</v>
      </c>
    </row>
    <row r="11" ht="15.75" customHeight="1">
      <c r="A11" s="10">
        <v>1010.0</v>
      </c>
      <c r="B11" s="10" t="s">
        <v>96</v>
      </c>
      <c r="C11" s="11">
        <f t="shared" si="1"/>
        <v>46100</v>
      </c>
      <c r="D11" s="10" t="s">
        <v>113</v>
      </c>
      <c r="E11" s="10" t="s">
        <v>114</v>
      </c>
      <c r="F11" s="10" t="s">
        <v>46</v>
      </c>
      <c r="G11" s="10">
        <v>120.0</v>
      </c>
      <c r="H11" s="10">
        <v>300.0</v>
      </c>
      <c r="I11" s="10" t="s">
        <v>95</v>
      </c>
      <c r="AB11" s="10">
        <v>47.0</v>
      </c>
    </row>
    <row r="12" ht="15.75" customHeight="1">
      <c r="A12" s="10">
        <v>1011.0</v>
      </c>
      <c r="B12" s="10" t="s">
        <v>96</v>
      </c>
      <c r="C12" s="11">
        <f t="shared" si="1"/>
        <v>46102</v>
      </c>
      <c r="D12" s="10" t="s">
        <v>115</v>
      </c>
      <c r="E12" s="10" t="s">
        <v>116</v>
      </c>
      <c r="F12" s="10" t="s">
        <v>52</v>
      </c>
      <c r="G12" s="10">
        <v>60.0</v>
      </c>
      <c r="H12" s="10">
        <v>150.0</v>
      </c>
      <c r="I12" s="10" t="s">
        <v>95</v>
      </c>
      <c r="AB12" s="10">
        <v>45.0</v>
      </c>
    </row>
    <row r="13" ht="15.75" customHeight="1">
      <c r="A13" s="10">
        <v>1012.0</v>
      </c>
      <c r="B13" s="10" t="s">
        <v>96</v>
      </c>
      <c r="C13" s="11">
        <f t="shared" si="1"/>
        <v>46103</v>
      </c>
      <c r="D13" s="10" t="s">
        <v>117</v>
      </c>
      <c r="E13" s="10" t="s">
        <v>118</v>
      </c>
      <c r="F13" s="10" t="s">
        <v>51</v>
      </c>
      <c r="G13" s="10">
        <v>80.0</v>
      </c>
      <c r="H13" s="10">
        <v>200.0</v>
      </c>
      <c r="I13" s="10" t="s">
        <v>95</v>
      </c>
      <c r="AB13" s="10">
        <v>44.0</v>
      </c>
    </row>
    <row r="14" ht="15.75" customHeight="1">
      <c r="A14" s="10">
        <v>1013.0</v>
      </c>
      <c r="B14" s="10" t="s">
        <v>96</v>
      </c>
      <c r="C14" s="11">
        <f t="shared" si="1"/>
        <v>46104</v>
      </c>
      <c r="D14" s="10" t="s">
        <v>119</v>
      </c>
      <c r="E14" s="10" t="s">
        <v>120</v>
      </c>
      <c r="F14" s="10" t="s">
        <v>52</v>
      </c>
      <c r="G14" s="10">
        <v>60.0</v>
      </c>
      <c r="H14" s="10">
        <v>150.0</v>
      </c>
      <c r="I14" s="10" t="s">
        <v>95</v>
      </c>
      <c r="AB14" s="10">
        <v>43.0</v>
      </c>
    </row>
    <row r="15" ht="15.75" customHeight="1">
      <c r="A15" s="10">
        <v>1014.0</v>
      </c>
      <c r="B15" s="10" t="s">
        <v>96</v>
      </c>
      <c r="C15" s="11">
        <f t="shared" si="1"/>
        <v>46106</v>
      </c>
      <c r="D15" s="10" t="s">
        <v>121</v>
      </c>
      <c r="E15" s="10" t="s">
        <v>122</v>
      </c>
      <c r="F15" s="10" t="s">
        <v>50</v>
      </c>
      <c r="G15" s="10">
        <v>100.0</v>
      </c>
      <c r="H15" s="10">
        <v>200.0</v>
      </c>
      <c r="I15" s="10" t="s">
        <v>95</v>
      </c>
      <c r="AB15" s="10">
        <v>41.0</v>
      </c>
    </row>
    <row r="16" ht="15.75" customHeight="1">
      <c r="A16" s="10">
        <v>1015.0</v>
      </c>
      <c r="B16" s="10" t="s">
        <v>96</v>
      </c>
      <c r="C16" s="11">
        <f t="shared" si="1"/>
        <v>46106</v>
      </c>
      <c r="D16" s="10" t="s">
        <v>123</v>
      </c>
      <c r="E16" s="10" t="s">
        <v>124</v>
      </c>
      <c r="F16" s="10" t="s">
        <v>42</v>
      </c>
      <c r="G16" s="10">
        <v>240.0</v>
      </c>
      <c r="H16" s="10">
        <v>600.0</v>
      </c>
      <c r="I16" s="10" t="s">
        <v>95</v>
      </c>
      <c r="AB16" s="10">
        <v>41.0</v>
      </c>
    </row>
    <row r="17" ht="15.75" customHeight="1">
      <c r="A17" s="10">
        <v>1016.0</v>
      </c>
      <c r="B17" s="10" t="s">
        <v>96</v>
      </c>
      <c r="C17" s="11">
        <f t="shared" si="1"/>
        <v>46107</v>
      </c>
      <c r="D17" s="10" t="s">
        <v>125</v>
      </c>
      <c r="E17" s="10" t="s">
        <v>126</v>
      </c>
      <c r="F17" s="10" t="s">
        <v>52</v>
      </c>
      <c r="G17" s="10">
        <v>60.0</v>
      </c>
      <c r="H17" s="10">
        <v>150.0</v>
      </c>
      <c r="I17" s="10" t="s">
        <v>95</v>
      </c>
      <c r="AB17" s="10">
        <v>40.0</v>
      </c>
    </row>
    <row r="18" ht="15.75" customHeight="1">
      <c r="A18" s="10">
        <v>1017.0</v>
      </c>
      <c r="B18" s="10" t="s">
        <v>96</v>
      </c>
      <c r="C18" s="11">
        <f t="shared" si="1"/>
        <v>46107</v>
      </c>
      <c r="D18" s="10" t="s">
        <v>127</v>
      </c>
      <c r="E18" s="10" t="s">
        <v>128</v>
      </c>
      <c r="F18" s="10" t="s">
        <v>54</v>
      </c>
      <c r="G18" s="10">
        <v>25.0</v>
      </c>
      <c r="H18" s="10">
        <v>80.0</v>
      </c>
      <c r="I18" s="10" t="s">
        <v>95</v>
      </c>
      <c r="AB18" s="10">
        <v>40.0</v>
      </c>
    </row>
    <row r="19" ht="15.75" customHeight="1">
      <c r="A19" s="10">
        <v>1018.0</v>
      </c>
      <c r="B19" s="10" t="s">
        <v>96</v>
      </c>
      <c r="C19" s="11">
        <f t="shared" si="1"/>
        <v>46108</v>
      </c>
      <c r="D19" s="10" t="s">
        <v>129</v>
      </c>
      <c r="E19" s="10" t="s">
        <v>130</v>
      </c>
      <c r="F19" s="10" t="s">
        <v>50</v>
      </c>
      <c r="G19" s="10">
        <v>100.0</v>
      </c>
      <c r="H19" s="10">
        <v>200.0</v>
      </c>
      <c r="I19" s="10" t="s">
        <v>95</v>
      </c>
      <c r="AB19" s="10">
        <v>39.0</v>
      </c>
    </row>
    <row r="20" ht="15.75" customHeight="1">
      <c r="A20" s="10">
        <v>1019.0</v>
      </c>
      <c r="B20" s="10" t="s">
        <v>96</v>
      </c>
      <c r="C20" s="11">
        <f t="shared" si="1"/>
        <v>46110</v>
      </c>
      <c r="D20" s="10" t="s">
        <v>131</v>
      </c>
      <c r="E20" s="10" t="s">
        <v>132</v>
      </c>
      <c r="F20" s="10" t="s">
        <v>51</v>
      </c>
      <c r="G20" s="10">
        <v>80.0</v>
      </c>
      <c r="H20" s="10">
        <v>200.0</v>
      </c>
      <c r="I20" s="10" t="s">
        <v>95</v>
      </c>
      <c r="AB20" s="10">
        <v>37.0</v>
      </c>
    </row>
    <row r="21" ht="15.75" customHeight="1">
      <c r="A21" s="10">
        <v>1020.0</v>
      </c>
      <c r="B21" s="10" t="s">
        <v>92</v>
      </c>
      <c r="C21" s="11">
        <f t="shared" si="1"/>
        <v>46113</v>
      </c>
      <c r="D21" s="10" t="s">
        <v>133</v>
      </c>
      <c r="E21" s="10" t="s">
        <v>134</v>
      </c>
      <c r="F21" s="10" t="s">
        <v>40</v>
      </c>
      <c r="G21" s="10">
        <v>500.0</v>
      </c>
      <c r="H21" s="10">
        <v>1200.0</v>
      </c>
      <c r="I21" s="10" t="s">
        <v>95</v>
      </c>
      <c r="J21" s="10" t="s">
        <v>95</v>
      </c>
      <c r="AB21" s="10">
        <v>34.0</v>
      </c>
    </row>
    <row r="22" ht="15.75" customHeight="1">
      <c r="A22" s="10">
        <v>1021.0</v>
      </c>
      <c r="B22" s="10" t="s">
        <v>96</v>
      </c>
      <c r="C22" s="11">
        <f t="shared" si="1"/>
        <v>46114</v>
      </c>
      <c r="D22" s="10" t="s">
        <v>135</v>
      </c>
      <c r="E22" s="10" t="s">
        <v>136</v>
      </c>
      <c r="F22" s="10" t="s">
        <v>46</v>
      </c>
      <c r="G22" s="10">
        <v>120.0</v>
      </c>
      <c r="H22" s="10">
        <v>300.0</v>
      </c>
      <c r="I22" s="10" t="s">
        <v>95</v>
      </c>
      <c r="AB22" s="10">
        <v>33.0</v>
      </c>
    </row>
    <row r="23" ht="15.75" customHeight="1">
      <c r="A23" s="10">
        <v>1022.0</v>
      </c>
      <c r="B23" s="10" t="s">
        <v>92</v>
      </c>
      <c r="C23" s="11">
        <f t="shared" si="1"/>
        <v>46114</v>
      </c>
      <c r="D23" s="10" t="s">
        <v>137</v>
      </c>
      <c r="E23" s="10" t="s">
        <v>138</v>
      </c>
      <c r="F23" s="10" t="s">
        <v>48</v>
      </c>
      <c r="G23" s="10">
        <v>300.0</v>
      </c>
      <c r="H23" s="10">
        <v>600.0</v>
      </c>
      <c r="I23" s="10" t="s">
        <v>95</v>
      </c>
      <c r="AB23" s="10">
        <v>33.0</v>
      </c>
    </row>
    <row r="24" ht="15.75" customHeight="1">
      <c r="A24" s="10">
        <v>1023.0</v>
      </c>
      <c r="B24" s="10" t="s">
        <v>96</v>
      </c>
      <c r="C24" s="11">
        <f t="shared" si="1"/>
        <v>46116</v>
      </c>
      <c r="D24" s="10" t="s">
        <v>139</v>
      </c>
      <c r="E24" s="10" t="s">
        <v>140</v>
      </c>
      <c r="F24" s="10" t="s">
        <v>42</v>
      </c>
      <c r="G24" s="10">
        <v>240.0</v>
      </c>
      <c r="H24" s="10">
        <v>600.0</v>
      </c>
      <c r="I24" s="10" t="s">
        <v>95</v>
      </c>
      <c r="AB24" s="10">
        <v>31.0</v>
      </c>
    </row>
    <row r="25" ht="15.75" customHeight="1">
      <c r="A25" s="10">
        <v>1024.0</v>
      </c>
      <c r="B25" s="10" t="s">
        <v>96</v>
      </c>
      <c r="C25" s="11">
        <f t="shared" si="1"/>
        <v>46117</v>
      </c>
      <c r="D25" s="10" t="s">
        <v>141</v>
      </c>
      <c r="E25" s="10" t="s">
        <v>142</v>
      </c>
      <c r="F25" s="10" t="s">
        <v>51</v>
      </c>
      <c r="G25" s="10">
        <v>80.0</v>
      </c>
      <c r="H25" s="10">
        <v>200.0</v>
      </c>
      <c r="I25" s="10" t="s">
        <v>95</v>
      </c>
      <c r="AB25" s="10">
        <v>30.0</v>
      </c>
    </row>
    <row r="26" ht="15.75" customHeight="1">
      <c r="A26" s="10">
        <v>1025.0</v>
      </c>
      <c r="B26" s="10" t="s">
        <v>96</v>
      </c>
      <c r="C26" s="11">
        <f t="shared" si="1"/>
        <v>46118</v>
      </c>
      <c r="D26" s="10" t="s">
        <v>143</v>
      </c>
      <c r="E26" s="10" t="s">
        <v>144</v>
      </c>
      <c r="F26" s="10" t="s">
        <v>50</v>
      </c>
      <c r="G26" s="10">
        <v>100.0</v>
      </c>
      <c r="H26" s="10">
        <v>200.0</v>
      </c>
      <c r="I26" s="10" t="s">
        <v>95</v>
      </c>
      <c r="AB26" s="10">
        <v>29.0</v>
      </c>
    </row>
    <row r="27" ht="15.75" customHeight="1">
      <c r="A27" s="10">
        <v>1026.0</v>
      </c>
      <c r="B27" s="10" t="s">
        <v>96</v>
      </c>
      <c r="C27" s="11">
        <f t="shared" si="1"/>
        <v>46119</v>
      </c>
      <c r="D27" s="10" t="s">
        <v>145</v>
      </c>
      <c r="E27" s="10" t="s">
        <v>146</v>
      </c>
      <c r="F27" s="10" t="s">
        <v>44</v>
      </c>
      <c r="G27" s="10">
        <v>200.0</v>
      </c>
      <c r="H27" s="10">
        <v>400.0</v>
      </c>
      <c r="I27" s="10" t="s">
        <v>95</v>
      </c>
      <c r="AB27" s="10">
        <v>28.0</v>
      </c>
    </row>
    <row r="28" ht="15.75" customHeight="1">
      <c r="A28" s="10">
        <v>1027.0</v>
      </c>
      <c r="B28" s="10" t="s">
        <v>92</v>
      </c>
      <c r="C28" s="11">
        <f t="shared" si="1"/>
        <v>46120</v>
      </c>
      <c r="D28" s="10" t="s">
        <v>147</v>
      </c>
      <c r="E28" s="10" t="s">
        <v>148</v>
      </c>
      <c r="F28" s="10" t="s">
        <v>40</v>
      </c>
      <c r="G28" s="10">
        <v>500.0</v>
      </c>
      <c r="H28" s="10">
        <v>1200.0</v>
      </c>
      <c r="I28" s="10" t="s">
        <v>95</v>
      </c>
      <c r="J28" s="10" t="s">
        <v>95</v>
      </c>
      <c r="AB28" s="10">
        <v>27.0</v>
      </c>
    </row>
    <row r="29" ht="15.75" customHeight="1">
      <c r="A29" s="10">
        <v>1028.0</v>
      </c>
      <c r="B29" s="10" t="s">
        <v>96</v>
      </c>
      <c r="C29" s="11">
        <f t="shared" si="1"/>
        <v>46121</v>
      </c>
      <c r="D29" s="10" t="s">
        <v>149</v>
      </c>
      <c r="E29" s="10" t="s">
        <v>150</v>
      </c>
      <c r="F29" s="10" t="s">
        <v>44</v>
      </c>
      <c r="G29" s="10">
        <v>200.0</v>
      </c>
      <c r="H29" s="10">
        <v>400.0</v>
      </c>
      <c r="I29" s="10" t="s">
        <v>95</v>
      </c>
      <c r="AB29" s="10">
        <v>26.0</v>
      </c>
    </row>
    <row r="30" ht="15.75" customHeight="1">
      <c r="A30" s="10">
        <v>1029.0</v>
      </c>
      <c r="B30" s="10" t="s">
        <v>92</v>
      </c>
      <c r="C30" s="11">
        <f t="shared" si="1"/>
        <v>46123</v>
      </c>
      <c r="D30" s="10" t="s">
        <v>151</v>
      </c>
      <c r="E30" s="10" t="s">
        <v>152</v>
      </c>
      <c r="F30" s="10" t="s">
        <v>40</v>
      </c>
      <c r="G30" s="10">
        <v>500.0</v>
      </c>
      <c r="H30" s="10">
        <v>1200.0</v>
      </c>
      <c r="I30" s="10" t="s">
        <v>95</v>
      </c>
      <c r="J30" s="10" t="s">
        <v>95</v>
      </c>
      <c r="AB30" s="10">
        <v>24.0</v>
      </c>
    </row>
    <row r="31" ht="15.75" customHeight="1">
      <c r="A31" s="10">
        <v>1030.0</v>
      </c>
      <c r="B31" s="10" t="s">
        <v>92</v>
      </c>
      <c r="C31" s="11">
        <f t="shared" si="1"/>
        <v>46123</v>
      </c>
      <c r="D31" s="10" t="s">
        <v>153</v>
      </c>
      <c r="E31" s="10" t="s">
        <v>154</v>
      </c>
      <c r="F31" s="10" t="s">
        <v>48</v>
      </c>
      <c r="G31" s="10">
        <v>300.0</v>
      </c>
      <c r="H31" s="10">
        <v>600.0</v>
      </c>
      <c r="I31" s="10" t="s">
        <v>95</v>
      </c>
      <c r="J31" s="10" t="s">
        <v>95</v>
      </c>
      <c r="AB31" s="10">
        <v>24.0</v>
      </c>
    </row>
    <row r="32" ht="15.75" customHeight="1">
      <c r="A32" s="10">
        <v>1031.0</v>
      </c>
      <c r="B32" s="10" t="s">
        <v>96</v>
      </c>
      <c r="C32" s="11">
        <f t="shared" si="1"/>
        <v>46124</v>
      </c>
      <c r="D32" s="10" t="s">
        <v>155</v>
      </c>
      <c r="E32" s="10" t="s">
        <v>156</v>
      </c>
      <c r="F32" s="10" t="s">
        <v>51</v>
      </c>
      <c r="G32" s="10">
        <v>80.0</v>
      </c>
      <c r="H32" s="10">
        <v>200.0</v>
      </c>
      <c r="I32" s="10" t="s">
        <v>95</v>
      </c>
      <c r="AB32" s="10">
        <v>23.0</v>
      </c>
    </row>
    <row r="33" ht="15.75" customHeight="1">
      <c r="A33" s="10">
        <v>1032.0</v>
      </c>
      <c r="B33" s="10" t="s">
        <v>96</v>
      </c>
      <c r="C33" s="11">
        <f t="shared" si="1"/>
        <v>46125</v>
      </c>
      <c r="D33" s="10" t="s">
        <v>157</v>
      </c>
      <c r="E33" s="10" t="s">
        <v>158</v>
      </c>
      <c r="F33" s="10" t="s">
        <v>46</v>
      </c>
      <c r="G33" s="10">
        <v>120.0</v>
      </c>
      <c r="H33" s="10">
        <v>300.0</v>
      </c>
      <c r="I33" s="10" t="s">
        <v>95</v>
      </c>
      <c r="AB33" s="10">
        <v>22.0</v>
      </c>
    </row>
    <row r="34" ht="15.75" customHeight="1">
      <c r="A34" s="10">
        <v>1033.0</v>
      </c>
      <c r="B34" s="10" t="s">
        <v>96</v>
      </c>
      <c r="C34" s="11">
        <f t="shared" si="1"/>
        <v>46126</v>
      </c>
      <c r="D34" s="10" t="s">
        <v>159</v>
      </c>
      <c r="E34" s="10" t="s">
        <v>160</v>
      </c>
      <c r="F34" s="10" t="s">
        <v>42</v>
      </c>
      <c r="G34" s="10">
        <v>240.0</v>
      </c>
      <c r="H34" s="10">
        <v>600.0</v>
      </c>
      <c r="I34" s="10" t="s">
        <v>95</v>
      </c>
      <c r="AB34" s="10">
        <v>21.0</v>
      </c>
    </row>
    <row r="35" ht="15.75" customHeight="1">
      <c r="A35" s="10">
        <v>1034.0</v>
      </c>
      <c r="B35" s="10" t="s">
        <v>96</v>
      </c>
      <c r="C35" s="11">
        <f t="shared" si="1"/>
        <v>46128</v>
      </c>
      <c r="D35" s="10" t="s">
        <v>161</v>
      </c>
      <c r="E35" s="10" t="s">
        <v>162</v>
      </c>
      <c r="F35" s="10" t="s">
        <v>52</v>
      </c>
      <c r="G35" s="10">
        <v>60.0</v>
      </c>
      <c r="H35" s="10">
        <v>150.0</v>
      </c>
      <c r="I35" s="10" t="s">
        <v>95</v>
      </c>
      <c r="AB35" s="10">
        <v>19.0</v>
      </c>
    </row>
    <row r="36" ht="15.75" customHeight="1">
      <c r="A36" s="10">
        <v>1035.0</v>
      </c>
      <c r="B36" s="10" t="s">
        <v>92</v>
      </c>
      <c r="C36" s="11">
        <f t="shared" si="1"/>
        <v>46128</v>
      </c>
      <c r="D36" s="10" t="s">
        <v>163</v>
      </c>
      <c r="E36" s="10" t="s">
        <v>164</v>
      </c>
      <c r="F36" s="10" t="s">
        <v>48</v>
      </c>
      <c r="G36" s="10">
        <v>300.0</v>
      </c>
      <c r="H36" s="10">
        <v>600.0</v>
      </c>
      <c r="I36" s="10" t="s">
        <v>95</v>
      </c>
      <c r="J36" s="10" t="s">
        <v>95</v>
      </c>
      <c r="AB36" s="10">
        <v>19.0</v>
      </c>
    </row>
    <row r="37" ht="15.75" customHeight="1">
      <c r="A37" s="10">
        <v>1036.0</v>
      </c>
      <c r="B37" s="10" t="s">
        <v>92</v>
      </c>
      <c r="C37" s="11">
        <f t="shared" si="1"/>
        <v>46130</v>
      </c>
      <c r="D37" s="10" t="s">
        <v>165</v>
      </c>
      <c r="E37" s="10" t="s">
        <v>166</v>
      </c>
      <c r="F37" s="10" t="s">
        <v>42</v>
      </c>
      <c r="G37" s="10">
        <v>240.0</v>
      </c>
      <c r="H37" s="10">
        <v>600.0</v>
      </c>
      <c r="I37" s="10" t="s">
        <v>95</v>
      </c>
      <c r="AB37" s="10">
        <v>17.0</v>
      </c>
    </row>
    <row r="38" ht="15.75" customHeight="1">
      <c r="A38" s="10">
        <v>1037.0</v>
      </c>
      <c r="B38" s="10" t="s">
        <v>92</v>
      </c>
      <c r="C38" s="11">
        <f t="shared" si="1"/>
        <v>46132</v>
      </c>
      <c r="D38" s="10" t="s">
        <v>167</v>
      </c>
      <c r="E38" s="10" t="s">
        <v>168</v>
      </c>
      <c r="F38" s="10" t="s">
        <v>42</v>
      </c>
      <c r="G38" s="10">
        <v>240.0</v>
      </c>
      <c r="H38" s="10">
        <v>600.0</v>
      </c>
      <c r="I38" s="10" t="s">
        <v>95</v>
      </c>
      <c r="AB38" s="10">
        <v>15.0</v>
      </c>
    </row>
    <row r="39" ht="15.75" customHeight="1">
      <c r="A39" s="10">
        <v>1038.0</v>
      </c>
      <c r="B39" s="10" t="s">
        <v>92</v>
      </c>
      <c r="C39" s="11">
        <f t="shared" si="1"/>
        <v>46134</v>
      </c>
      <c r="D39" s="10" t="s">
        <v>169</v>
      </c>
      <c r="E39" s="10" t="s">
        <v>170</v>
      </c>
      <c r="F39" s="10" t="s">
        <v>44</v>
      </c>
      <c r="G39" s="10">
        <v>200.0</v>
      </c>
      <c r="H39" s="10">
        <v>400.0</v>
      </c>
      <c r="I39" s="10" t="s">
        <v>95</v>
      </c>
      <c r="AB39" s="10">
        <v>13.0</v>
      </c>
    </row>
    <row r="40" ht="15.75" customHeight="1">
      <c r="A40" s="10">
        <v>1039.0</v>
      </c>
      <c r="B40" s="10" t="s">
        <v>96</v>
      </c>
      <c r="C40" s="11">
        <f t="shared" si="1"/>
        <v>46135</v>
      </c>
      <c r="D40" s="10" t="s">
        <v>171</v>
      </c>
      <c r="E40" s="10" t="s">
        <v>172</v>
      </c>
      <c r="F40" s="10" t="s">
        <v>51</v>
      </c>
      <c r="G40" s="10">
        <v>80.0</v>
      </c>
      <c r="H40" s="10">
        <v>200.0</v>
      </c>
      <c r="I40" s="10" t="s">
        <v>95</v>
      </c>
      <c r="AB40" s="10">
        <v>12.0</v>
      </c>
    </row>
    <row r="41" ht="15.75" customHeight="1">
      <c r="A41" s="10">
        <v>1040.0</v>
      </c>
      <c r="B41" s="10" t="s">
        <v>96</v>
      </c>
      <c r="C41" s="11">
        <f t="shared" si="1"/>
        <v>46136</v>
      </c>
      <c r="D41" s="10" t="s">
        <v>173</v>
      </c>
      <c r="E41" s="10" t="s">
        <v>174</v>
      </c>
      <c r="F41" s="10" t="s">
        <v>52</v>
      </c>
      <c r="G41" s="10">
        <v>60.0</v>
      </c>
      <c r="H41" s="10">
        <v>150.0</v>
      </c>
      <c r="I41" s="10" t="s">
        <v>95</v>
      </c>
      <c r="AB41" s="10">
        <v>11.0</v>
      </c>
    </row>
    <row r="42" ht="15.75" customHeight="1">
      <c r="A42" s="10">
        <v>1041.0</v>
      </c>
      <c r="B42" s="10" t="s">
        <v>92</v>
      </c>
      <c r="C42" s="11">
        <f t="shared" si="1"/>
        <v>46138</v>
      </c>
      <c r="D42" s="10" t="s">
        <v>175</v>
      </c>
      <c r="E42" s="10" t="s">
        <v>176</v>
      </c>
      <c r="F42" s="10" t="s">
        <v>40</v>
      </c>
      <c r="G42" s="10">
        <v>500.0</v>
      </c>
      <c r="H42" s="10">
        <v>1200.0</v>
      </c>
      <c r="J42" s="10" t="s">
        <v>95</v>
      </c>
      <c r="AB42" s="10">
        <v>9.0</v>
      </c>
    </row>
    <row r="43" ht="15.75" customHeight="1">
      <c r="A43" s="10">
        <v>1042.0</v>
      </c>
      <c r="B43" s="10" t="s">
        <v>92</v>
      </c>
      <c r="C43" s="11">
        <f t="shared" si="1"/>
        <v>46140</v>
      </c>
      <c r="D43" s="10" t="s">
        <v>177</v>
      </c>
      <c r="E43" s="10" t="s">
        <v>178</v>
      </c>
      <c r="F43" s="10" t="s">
        <v>50</v>
      </c>
      <c r="G43" s="10">
        <v>100.0</v>
      </c>
      <c r="H43" s="10">
        <v>200.0</v>
      </c>
      <c r="I43" s="10" t="s">
        <v>95</v>
      </c>
      <c r="AB43" s="10">
        <v>7.0</v>
      </c>
    </row>
    <row r="44" ht="15.75" customHeight="1">
      <c r="A44" s="10">
        <v>1043.0</v>
      </c>
      <c r="B44" s="10" t="s">
        <v>92</v>
      </c>
      <c r="C44" s="11">
        <f t="shared" si="1"/>
        <v>46141</v>
      </c>
      <c r="D44" s="10" t="s">
        <v>179</v>
      </c>
      <c r="E44" s="10" t="s">
        <v>180</v>
      </c>
      <c r="F44" s="10" t="s">
        <v>40</v>
      </c>
      <c r="G44" s="10">
        <v>500.0</v>
      </c>
      <c r="H44" s="10">
        <v>1200.0</v>
      </c>
      <c r="J44" s="10" t="s">
        <v>95</v>
      </c>
      <c r="AB44" s="10">
        <v>6.0</v>
      </c>
    </row>
    <row r="45" ht="15.75" customHeight="1">
      <c r="A45" s="10">
        <v>1044.0</v>
      </c>
      <c r="B45" s="10" t="s">
        <v>92</v>
      </c>
      <c r="C45" s="11">
        <f t="shared" si="1"/>
        <v>46142</v>
      </c>
      <c r="D45" s="10" t="s">
        <v>181</v>
      </c>
      <c r="E45" s="10" t="s">
        <v>182</v>
      </c>
      <c r="F45" s="10" t="s">
        <v>46</v>
      </c>
      <c r="G45" s="10">
        <v>120.0</v>
      </c>
      <c r="H45" s="10">
        <v>300.0</v>
      </c>
      <c r="I45" s="10" t="s">
        <v>95</v>
      </c>
      <c r="AB45" s="10">
        <v>5.0</v>
      </c>
    </row>
    <row r="46" ht="15.75" customHeight="1">
      <c r="A46" s="10">
        <v>1045.0</v>
      </c>
      <c r="B46" s="10" t="s">
        <v>92</v>
      </c>
      <c r="C46" s="11">
        <f t="shared" si="1"/>
        <v>46142</v>
      </c>
      <c r="D46" s="10" t="s">
        <v>183</v>
      </c>
      <c r="E46" s="10" t="s">
        <v>184</v>
      </c>
      <c r="F46" s="10" t="s">
        <v>46</v>
      </c>
      <c r="G46" s="10">
        <v>120.0</v>
      </c>
      <c r="H46" s="10">
        <v>300.0</v>
      </c>
      <c r="I46" s="10" t="s">
        <v>95</v>
      </c>
      <c r="AB46" s="10">
        <v>5.0</v>
      </c>
    </row>
    <row r="47" ht="15.75" customHeight="1">
      <c r="A47" s="10">
        <v>1046.0</v>
      </c>
      <c r="B47" s="10" t="s">
        <v>92</v>
      </c>
      <c r="C47" s="11">
        <f t="shared" si="1"/>
        <v>46143</v>
      </c>
      <c r="D47" s="10" t="s">
        <v>185</v>
      </c>
      <c r="E47" s="10" t="s">
        <v>186</v>
      </c>
      <c r="F47" s="10" t="s">
        <v>50</v>
      </c>
      <c r="G47" s="10">
        <v>100.0</v>
      </c>
      <c r="H47" s="10">
        <v>200.0</v>
      </c>
      <c r="I47" s="10" t="s">
        <v>95</v>
      </c>
      <c r="AB47" s="10">
        <v>4.0</v>
      </c>
    </row>
    <row r="48" ht="15.75" customHeight="1">
      <c r="A48" s="10">
        <v>1047.0</v>
      </c>
      <c r="B48" s="10" t="s">
        <v>92</v>
      </c>
      <c r="C48" s="11">
        <f t="shared" si="1"/>
        <v>46143</v>
      </c>
      <c r="D48" s="10" t="s">
        <v>187</v>
      </c>
      <c r="E48" s="10" t="s">
        <v>188</v>
      </c>
      <c r="F48" s="10" t="s">
        <v>44</v>
      </c>
      <c r="G48" s="10">
        <v>200.0</v>
      </c>
      <c r="H48" s="10">
        <v>400.0</v>
      </c>
      <c r="I48" s="10" t="s">
        <v>95</v>
      </c>
      <c r="J48" s="10" t="s">
        <v>95</v>
      </c>
      <c r="AB48" s="10">
        <v>4.0</v>
      </c>
    </row>
    <row r="49" ht="15.75" customHeight="1">
      <c r="A49" s="10">
        <v>1048.0</v>
      </c>
      <c r="B49" s="10" t="s">
        <v>96</v>
      </c>
      <c r="C49" s="11">
        <f t="shared" si="1"/>
        <v>46144</v>
      </c>
      <c r="D49" s="10" t="s">
        <v>189</v>
      </c>
      <c r="E49" s="10" t="s">
        <v>190</v>
      </c>
      <c r="F49" s="10" t="s">
        <v>54</v>
      </c>
      <c r="G49" s="10">
        <v>25.0</v>
      </c>
      <c r="H49" s="10">
        <v>80.0</v>
      </c>
      <c r="I49" s="10" t="s">
        <v>95</v>
      </c>
      <c r="AB49" s="10">
        <v>3.0</v>
      </c>
    </row>
    <row r="50" ht="15.75" customHeight="1">
      <c r="A50" s="10">
        <v>1049.0</v>
      </c>
      <c r="B50" s="10" t="s">
        <v>92</v>
      </c>
      <c r="C50" s="11">
        <f t="shared" si="1"/>
        <v>46146</v>
      </c>
      <c r="D50" s="10" t="s">
        <v>191</v>
      </c>
      <c r="E50" s="10" t="s">
        <v>192</v>
      </c>
      <c r="F50" s="10" t="s">
        <v>42</v>
      </c>
      <c r="G50" s="10">
        <v>240.0</v>
      </c>
      <c r="H50" s="10">
        <v>600.0</v>
      </c>
      <c r="I50" s="10" t="s">
        <v>95</v>
      </c>
      <c r="AB50" s="10">
        <v>1.0</v>
      </c>
    </row>
    <row r="51" ht="15.75" customHeight="1">
      <c r="A51" s="10">
        <v>1050.0</v>
      </c>
      <c r="B51" s="10" t="s">
        <v>92</v>
      </c>
      <c r="C51" s="11">
        <f t="shared" si="1"/>
        <v>46146</v>
      </c>
      <c r="D51" s="10" t="s">
        <v>193</v>
      </c>
      <c r="E51" s="10" t="s">
        <v>194</v>
      </c>
      <c r="F51" s="10" t="s">
        <v>50</v>
      </c>
      <c r="G51" s="10">
        <v>100.0</v>
      </c>
      <c r="H51" s="10">
        <v>200.0</v>
      </c>
      <c r="I51" s="10" t="s">
        <v>95</v>
      </c>
      <c r="AB51" s="10">
        <v>1.0</v>
      </c>
    </row>
    <row r="52" ht="15.75" customHeight="1">
      <c r="A52" s="10">
        <v>1051.0</v>
      </c>
      <c r="B52" s="10" t="s">
        <v>92</v>
      </c>
      <c r="C52" s="11">
        <f t="shared" si="1"/>
        <v>46147</v>
      </c>
      <c r="D52" s="10" t="s">
        <v>195</v>
      </c>
      <c r="E52" s="10" t="s">
        <v>196</v>
      </c>
      <c r="F52" s="10" t="s">
        <v>54</v>
      </c>
      <c r="G52" s="10">
        <v>25.0</v>
      </c>
      <c r="H52" s="10">
        <v>80.0</v>
      </c>
      <c r="I52" s="10" t="s">
        <v>95</v>
      </c>
    </row>
    <row r="53" ht="15.75" customHeight="1">
      <c r="A53" s="10">
        <v>1052.0</v>
      </c>
      <c r="B53" s="10" t="s">
        <v>92</v>
      </c>
      <c r="C53" s="11">
        <f t="shared" si="1"/>
        <v>46147</v>
      </c>
      <c r="D53" s="10" t="s">
        <v>197</v>
      </c>
      <c r="E53" s="10" t="s">
        <v>198</v>
      </c>
      <c r="F53" s="10" t="s">
        <v>52</v>
      </c>
      <c r="G53" s="10">
        <v>60.0</v>
      </c>
      <c r="H53" s="10">
        <v>150.0</v>
      </c>
      <c r="I53" s="10" t="s">
        <v>95</v>
      </c>
    </row>
    <row r="54" ht="15.75" customHeight="1">
      <c r="A54" s="10">
        <v>1053.0</v>
      </c>
      <c r="B54" s="10" t="s">
        <v>92</v>
      </c>
      <c r="C54" s="11">
        <f t="shared" si="1"/>
        <v>46147</v>
      </c>
      <c r="D54" s="10" t="s">
        <v>199</v>
      </c>
      <c r="E54" s="10" t="s">
        <v>200</v>
      </c>
      <c r="F54" s="10" t="s">
        <v>53</v>
      </c>
      <c r="G54" s="10">
        <v>180.0</v>
      </c>
      <c r="H54" s="10">
        <v>400.0</v>
      </c>
      <c r="J54" s="10" t="s">
        <v>95</v>
      </c>
    </row>
    <row r="55" ht="15.75" customHeight="1">
      <c r="C55" s="11"/>
    </row>
    <row r="56" ht="15.75" customHeight="1">
      <c r="C56" s="11"/>
    </row>
    <row r="57" ht="15.75" customHeight="1">
      <c r="C57" s="11"/>
    </row>
    <row r="58" ht="15.75" customHeight="1">
      <c r="C58" s="11"/>
    </row>
    <row r="59" ht="15.75" customHeight="1">
      <c r="C59" s="11"/>
    </row>
    <row r="60" ht="15.75" customHeight="1">
      <c r="C60" s="11"/>
    </row>
    <row r="61" ht="15.75" customHeight="1">
      <c r="C61" s="11"/>
    </row>
    <row r="62" ht="15.75" customHeight="1">
      <c r="C62" s="11"/>
    </row>
    <row r="63" ht="15.75" customHeight="1">
      <c r="C63" s="11"/>
    </row>
    <row r="64" ht="15.75" customHeight="1">
      <c r="C64" s="11"/>
    </row>
    <row r="65" ht="15.75" customHeight="1">
      <c r="C65" s="11"/>
    </row>
    <row r="66" ht="15.75" customHeight="1">
      <c r="C66" s="11"/>
    </row>
    <row r="67" ht="15.75" customHeight="1">
      <c r="C67" s="11"/>
    </row>
    <row r="68" ht="15.75" customHeight="1">
      <c r="C68" s="11"/>
    </row>
    <row r="69" ht="15.75" customHeight="1">
      <c r="C69" s="11"/>
    </row>
    <row r="70" ht="15.75" customHeight="1">
      <c r="C70" s="11"/>
    </row>
    <row r="71" ht="15.75" customHeight="1">
      <c r="C71" s="11"/>
    </row>
    <row r="72" ht="15.75" customHeight="1">
      <c r="C72" s="11"/>
    </row>
    <row r="73" ht="15.75" customHeight="1">
      <c r="C73" s="11"/>
    </row>
    <row r="74" ht="15.75" customHeight="1">
      <c r="C74" s="11"/>
    </row>
    <row r="75" ht="15.75" customHeight="1">
      <c r="C75" s="11"/>
    </row>
    <row r="76" ht="15.75" customHeight="1">
      <c r="C76" s="11"/>
    </row>
    <row r="77" ht="15.75" customHeight="1">
      <c r="C77" s="11"/>
    </row>
    <row r="78" ht="15.75" customHeight="1">
      <c r="C78" s="11"/>
    </row>
    <row r="79" ht="15.75" customHeight="1">
      <c r="C79" s="11"/>
    </row>
    <row r="80" ht="15.75" customHeight="1">
      <c r="C80" s="11"/>
    </row>
    <row r="81" ht="15.75" customHeight="1">
      <c r="C81" s="11"/>
    </row>
    <row r="82" ht="15.75" customHeight="1">
      <c r="C82" s="11"/>
    </row>
    <row r="83" ht="15.75" customHeight="1">
      <c r="C83" s="11"/>
    </row>
    <row r="84" ht="15.75" customHeight="1">
      <c r="C84" s="11"/>
    </row>
    <row r="85" ht="15.75" customHeight="1">
      <c r="C85" s="11"/>
    </row>
    <row r="86" ht="15.75" customHeight="1">
      <c r="C86" s="11"/>
    </row>
    <row r="87" ht="15.75" customHeight="1">
      <c r="C87" s="11"/>
    </row>
    <row r="88" ht="15.75" customHeight="1">
      <c r="C88" s="11"/>
    </row>
    <row r="89" ht="15.75" customHeight="1">
      <c r="C89" s="11"/>
    </row>
    <row r="90" ht="15.75" customHeight="1">
      <c r="C90" s="11"/>
    </row>
    <row r="91" ht="15.75" customHeight="1">
      <c r="C91" s="11"/>
    </row>
    <row r="92" ht="15.75" customHeight="1">
      <c r="C92" s="11"/>
    </row>
    <row r="93" ht="15.75" customHeight="1">
      <c r="C93" s="11"/>
    </row>
    <row r="94" ht="15.75" customHeight="1">
      <c r="C94" s="11"/>
    </row>
    <row r="95" ht="15.75" customHeight="1">
      <c r="C95" s="11"/>
    </row>
    <row r="96" ht="15.75" customHeight="1">
      <c r="C96" s="11"/>
    </row>
    <row r="97" ht="15.75" customHeight="1">
      <c r="C97" s="11"/>
    </row>
    <row r="98" ht="15.75" customHeight="1">
      <c r="C98" s="11"/>
    </row>
    <row r="99" ht="15.75" customHeight="1">
      <c r="C99" s="11"/>
    </row>
    <row r="100" ht="15.75" customHeight="1">
      <c r="C100" s="11"/>
    </row>
    <row r="101" ht="15.75" customHeight="1">
      <c r="C101" s="11"/>
    </row>
    <row r="102" ht="15.75" customHeight="1">
      <c r="C102" s="11"/>
    </row>
    <row r="103" ht="15.75" customHeight="1">
      <c r="C103" s="11"/>
    </row>
    <row r="104" ht="15.75" customHeight="1">
      <c r="C104" s="11"/>
    </row>
    <row r="105" ht="15.75" customHeight="1">
      <c r="C105" s="11"/>
    </row>
    <row r="106" ht="15.75" customHeight="1">
      <c r="C106" s="11"/>
    </row>
    <row r="107" ht="15.75" customHeight="1">
      <c r="C107" s="11"/>
    </row>
    <row r="108" ht="15.75" customHeight="1">
      <c r="C108" s="11"/>
    </row>
    <row r="109" ht="15.75" customHeight="1">
      <c r="C109" s="11"/>
    </row>
    <row r="110" ht="15.75" customHeight="1">
      <c r="C110" s="11"/>
    </row>
    <row r="111" ht="15.75" customHeight="1">
      <c r="C111" s="11"/>
    </row>
    <row r="112" ht="15.75" customHeight="1">
      <c r="C112" s="11"/>
    </row>
    <row r="113" ht="15.75" customHeight="1">
      <c r="C113" s="11"/>
    </row>
    <row r="114" ht="15.75" customHeight="1">
      <c r="C114" s="11"/>
    </row>
    <row r="115" ht="15.75" customHeight="1">
      <c r="C115" s="11"/>
    </row>
    <row r="116" ht="15.75" customHeight="1">
      <c r="C116" s="11"/>
    </row>
    <row r="117" ht="15.75" customHeight="1">
      <c r="C117" s="11"/>
    </row>
    <row r="118" ht="15.75" customHeight="1">
      <c r="C118" s="11"/>
    </row>
    <row r="119" ht="15.75" customHeight="1">
      <c r="C119" s="11"/>
    </row>
    <row r="120" ht="15.75" customHeight="1">
      <c r="C120" s="11"/>
    </row>
    <row r="121" ht="15.75" customHeight="1">
      <c r="C121" s="11"/>
    </row>
    <row r="122" ht="15.75" customHeight="1">
      <c r="C122" s="11"/>
    </row>
    <row r="123" ht="15.75" customHeight="1">
      <c r="C123" s="11"/>
    </row>
    <row r="124" ht="15.75" customHeight="1">
      <c r="C124" s="11"/>
    </row>
    <row r="125" ht="15.75" customHeight="1">
      <c r="C125" s="11"/>
    </row>
    <row r="126" ht="15.75" customHeight="1">
      <c r="C126" s="11"/>
    </row>
    <row r="127" ht="15.75" customHeight="1">
      <c r="C127" s="11"/>
    </row>
    <row r="128" ht="15.75" customHeight="1">
      <c r="C128" s="11"/>
    </row>
    <row r="129" ht="15.75" customHeight="1">
      <c r="C129" s="11"/>
    </row>
    <row r="130" ht="15.75" customHeight="1">
      <c r="C130" s="11"/>
    </row>
    <row r="131" ht="15.75" customHeight="1">
      <c r="C131" s="11"/>
    </row>
    <row r="132" ht="15.75" customHeight="1">
      <c r="C132" s="11"/>
    </row>
    <row r="133" ht="15.75" customHeight="1">
      <c r="C133" s="11"/>
    </row>
    <row r="134" ht="15.75" customHeight="1">
      <c r="C134" s="11"/>
    </row>
    <row r="135" ht="15.75" customHeight="1">
      <c r="C135" s="11"/>
    </row>
    <row r="136" ht="15.75" customHeight="1">
      <c r="C136" s="11"/>
    </row>
    <row r="137" ht="15.75" customHeight="1">
      <c r="C137" s="11"/>
    </row>
    <row r="138" ht="15.75" customHeight="1">
      <c r="C138" s="11"/>
    </row>
    <row r="139" ht="15.75" customHeight="1">
      <c r="C139" s="11"/>
    </row>
    <row r="140" ht="15.75" customHeight="1">
      <c r="C140" s="11"/>
    </row>
    <row r="141" ht="15.75" customHeight="1">
      <c r="C141" s="11"/>
    </row>
    <row r="142" ht="15.75" customHeight="1">
      <c r="C142" s="11"/>
    </row>
    <row r="143" ht="15.75" customHeight="1">
      <c r="C143" s="11"/>
    </row>
    <row r="144" ht="15.75" customHeight="1">
      <c r="C144" s="11"/>
    </row>
    <row r="145" ht="15.75" customHeight="1">
      <c r="C145" s="11"/>
    </row>
    <row r="146" ht="15.75" customHeight="1">
      <c r="C146" s="11"/>
    </row>
    <row r="147" ht="15.75" customHeight="1">
      <c r="C147" s="11"/>
    </row>
    <row r="148" ht="15.75" customHeight="1">
      <c r="C148" s="11"/>
    </row>
    <row r="149" ht="15.75" customHeight="1">
      <c r="C149" s="11"/>
    </row>
    <row r="150" ht="15.75" customHeight="1">
      <c r="C150" s="11"/>
    </row>
    <row r="151" ht="15.75" customHeight="1">
      <c r="C151" s="11"/>
    </row>
    <row r="152" ht="15.75" customHeight="1">
      <c r="C152" s="11"/>
    </row>
    <row r="153" ht="15.75" customHeight="1">
      <c r="C153" s="11"/>
    </row>
    <row r="154" ht="15.75" customHeight="1">
      <c r="C154" s="11"/>
    </row>
    <row r="155" ht="15.75" customHeight="1">
      <c r="C155" s="11"/>
    </row>
    <row r="156" ht="15.75" customHeight="1">
      <c r="C156" s="11"/>
    </row>
    <row r="157" ht="15.75" customHeight="1">
      <c r="C157" s="11"/>
    </row>
    <row r="158" ht="15.75" customHeight="1">
      <c r="C158" s="11"/>
    </row>
    <row r="159" ht="15.75" customHeight="1">
      <c r="C159" s="11"/>
    </row>
    <row r="160" ht="15.75" customHeight="1">
      <c r="C160" s="11"/>
    </row>
    <row r="161" ht="15.75" customHeight="1">
      <c r="C161" s="11"/>
    </row>
    <row r="162" ht="15.75" customHeight="1">
      <c r="C162" s="11"/>
    </row>
    <row r="163" ht="15.75" customHeight="1">
      <c r="C163" s="11"/>
    </row>
    <row r="164" ht="15.75" customHeight="1">
      <c r="C164" s="11"/>
    </row>
    <row r="165" ht="15.75" customHeight="1">
      <c r="C165" s="11"/>
    </row>
    <row r="166" ht="15.75" customHeight="1">
      <c r="C166" s="11"/>
    </row>
    <row r="167" ht="15.75" customHeight="1">
      <c r="C167" s="11"/>
    </row>
    <row r="168" ht="15.75" customHeight="1">
      <c r="C168" s="11"/>
    </row>
    <row r="169" ht="15.75" customHeight="1">
      <c r="C169" s="11"/>
    </row>
    <row r="170" ht="15.75" customHeight="1">
      <c r="C170" s="11"/>
    </row>
    <row r="171" ht="15.75" customHeight="1">
      <c r="C171" s="11"/>
    </row>
    <row r="172" ht="15.75" customHeight="1">
      <c r="C172" s="11"/>
    </row>
    <row r="173" ht="15.75" customHeight="1">
      <c r="C173" s="11"/>
    </row>
    <row r="174" ht="15.75" customHeight="1">
      <c r="C174" s="11"/>
    </row>
    <row r="175" ht="15.75" customHeight="1">
      <c r="C175" s="11"/>
    </row>
    <row r="176" ht="15.75" customHeight="1">
      <c r="C176" s="11"/>
    </row>
    <row r="177" ht="15.75" customHeight="1">
      <c r="C177" s="11"/>
    </row>
    <row r="178" ht="15.75" customHeight="1">
      <c r="C178" s="11"/>
    </row>
    <row r="179" ht="15.75" customHeight="1">
      <c r="C179" s="11"/>
    </row>
    <row r="180" ht="15.75" customHeight="1">
      <c r="C180" s="11"/>
    </row>
    <row r="181" ht="15.75" customHeight="1">
      <c r="C181" s="11"/>
    </row>
    <row r="182" ht="15.75" customHeight="1">
      <c r="C182" s="11"/>
    </row>
    <row r="183" ht="15.75" customHeight="1">
      <c r="C183" s="11"/>
    </row>
    <row r="184" ht="15.75" customHeight="1">
      <c r="C184" s="11"/>
    </row>
    <row r="185" ht="15.75" customHeight="1">
      <c r="C185" s="11"/>
    </row>
    <row r="186" ht="15.75" customHeight="1">
      <c r="C186" s="11"/>
    </row>
    <row r="187" ht="15.75" customHeight="1">
      <c r="C187" s="11"/>
    </row>
    <row r="188" ht="15.75" customHeight="1">
      <c r="C188" s="11"/>
    </row>
    <row r="189" ht="15.75" customHeight="1">
      <c r="C189" s="11"/>
    </row>
    <row r="190" ht="15.75" customHeight="1">
      <c r="C190" s="11"/>
    </row>
    <row r="191" ht="15.75" customHeight="1">
      <c r="C191" s="11"/>
    </row>
    <row r="192" ht="15.75" customHeight="1">
      <c r="C192" s="11"/>
    </row>
    <row r="193" ht="15.75" customHeight="1">
      <c r="C193" s="11"/>
    </row>
    <row r="194" ht="15.75" customHeight="1">
      <c r="C194" s="11"/>
    </row>
    <row r="195" ht="15.75" customHeight="1">
      <c r="C195" s="11"/>
    </row>
    <row r="196" ht="15.75" customHeight="1">
      <c r="C196" s="11"/>
    </row>
    <row r="197" ht="15.75" customHeight="1">
      <c r="C197" s="11"/>
    </row>
    <row r="198" ht="15.75" customHeight="1">
      <c r="C198" s="11"/>
    </row>
    <row r="199" ht="15.75" customHeight="1">
      <c r="C199" s="11"/>
    </row>
    <row r="200" ht="15.75" customHeight="1">
      <c r="C200" s="11"/>
    </row>
    <row r="201" ht="15.75" customHeight="1">
      <c r="C201" s="11"/>
    </row>
    <row r="202" ht="15.75" customHeight="1">
      <c r="C202" s="11"/>
    </row>
    <row r="203" ht="15.75" customHeight="1">
      <c r="C203" s="11"/>
    </row>
    <row r="204" ht="15.75" customHeight="1">
      <c r="C204" s="11"/>
    </row>
    <row r="205" ht="15.75" customHeight="1">
      <c r="C205" s="11"/>
    </row>
    <row r="206" ht="15.75" customHeight="1">
      <c r="C206" s="11"/>
    </row>
    <row r="207" ht="15.75" customHeight="1">
      <c r="C207" s="11"/>
    </row>
    <row r="208" ht="15.75" customHeight="1">
      <c r="C208" s="11"/>
    </row>
    <row r="209" ht="15.75" customHeight="1">
      <c r="C209" s="11"/>
    </row>
    <row r="210" ht="15.75" customHeight="1">
      <c r="C210" s="11"/>
    </row>
    <row r="211" ht="15.75" customHeight="1">
      <c r="C211" s="11"/>
    </row>
    <row r="212" ht="15.75" customHeight="1">
      <c r="C212" s="11"/>
    </row>
    <row r="213" ht="15.75" customHeight="1">
      <c r="C213" s="11"/>
    </row>
    <row r="214" ht="15.75" customHeight="1">
      <c r="C214" s="11"/>
    </row>
    <row r="215" ht="15.75" customHeight="1">
      <c r="C215" s="11"/>
    </row>
    <row r="216" ht="15.75" customHeight="1">
      <c r="C216" s="11"/>
    </row>
    <row r="217" ht="15.75" customHeight="1">
      <c r="C217" s="11"/>
    </row>
    <row r="218" ht="15.75" customHeight="1">
      <c r="C218" s="11"/>
    </row>
    <row r="219" ht="15.75" customHeight="1">
      <c r="C219" s="11"/>
    </row>
    <row r="220" ht="15.75" customHeight="1">
      <c r="C220" s="11"/>
    </row>
    <row r="221" ht="15.75" customHeight="1">
      <c r="C221" s="11"/>
    </row>
    <row r="222" ht="15.75" customHeight="1">
      <c r="C222" s="11"/>
    </row>
    <row r="223" ht="15.75" customHeight="1">
      <c r="C223" s="11"/>
    </row>
    <row r="224" ht="15.75" customHeight="1">
      <c r="C224" s="11"/>
    </row>
    <row r="225" ht="15.75" customHeight="1">
      <c r="C225" s="11"/>
    </row>
    <row r="226" ht="15.75" customHeight="1">
      <c r="C226" s="11"/>
    </row>
    <row r="227" ht="15.75" customHeight="1">
      <c r="C227" s="11"/>
    </row>
    <row r="228" ht="15.75" customHeight="1">
      <c r="C228" s="11"/>
    </row>
    <row r="229" ht="15.75" customHeight="1">
      <c r="C229" s="11"/>
    </row>
    <row r="230" ht="15.75" customHeight="1">
      <c r="C230" s="11"/>
    </row>
    <row r="231" ht="15.75" customHeight="1">
      <c r="C231" s="11"/>
    </row>
    <row r="232" ht="15.75" customHeight="1">
      <c r="C232" s="11"/>
    </row>
    <row r="233" ht="15.75" customHeight="1">
      <c r="C233" s="11"/>
    </row>
    <row r="234" ht="15.75" customHeight="1">
      <c r="C234" s="11"/>
    </row>
    <row r="235" ht="15.75" customHeight="1">
      <c r="C235" s="11"/>
    </row>
    <row r="236" ht="15.75" customHeight="1">
      <c r="C236" s="11"/>
    </row>
    <row r="237" ht="15.75" customHeight="1">
      <c r="C237" s="11"/>
    </row>
    <row r="238" ht="15.75" customHeight="1">
      <c r="C238" s="11"/>
    </row>
    <row r="239" ht="15.75" customHeight="1">
      <c r="C239" s="11"/>
    </row>
    <row r="240" ht="15.75" customHeight="1">
      <c r="C240" s="11"/>
    </row>
    <row r="241" ht="15.75" customHeight="1">
      <c r="C241" s="11"/>
    </row>
    <row r="242" ht="15.75" customHeight="1">
      <c r="C242" s="11"/>
    </row>
    <row r="243" ht="15.75" customHeight="1">
      <c r="C243" s="11"/>
    </row>
    <row r="244" ht="15.75" customHeight="1">
      <c r="C244" s="11"/>
    </row>
    <row r="245" ht="15.75" customHeight="1">
      <c r="C245" s="11"/>
    </row>
    <row r="246" ht="15.75" customHeight="1">
      <c r="C246" s="11"/>
    </row>
    <row r="247" ht="15.75" customHeight="1">
      <c r="C247" s="11"/>
    </row>
    <row r="248" ht="15.75" customHeight="1">
      <c r="C248" s="11"/>
    </row>
    <row r="249" ht="15.75" customHeight="1">
      <c r="C249" s="11"/>
    </row>
    <row r="250" ht="15.75" customHeight="1">
      <c r="C250" s="11"/>
    </row>
    <row r="251" ht="15.75" customHeight="1">
      <c r="C251" s="11"/>
    </row>
    <row r="252" ht="15.75" customHeight="1">
      <c r="C252" s="11"/>
    </row>
    <row r="253" ht="15.75" customHeight="1">
      <c r="C253" s="11"/>
    </row>
    <row r="254" ht="15.75" customHeight="1">
      <c r="C254" s="11"/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